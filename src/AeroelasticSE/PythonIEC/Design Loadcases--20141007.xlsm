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915" codeName="{00000000-0000-0000-0000-000000000000}"/>
  <workbookPr codeName="ThisWorkbook" autoCompressPictures="0"/>
  <bookViews>
    <workbookView xWindow="0" yWindow="0" windowWidth="21260" windowHeight="14200" tabRatio="244"/>
  </bookViews>
  <sheets>
    <sheet name="Sheet1" sheetId="1" r:id="rId1"/>
    <sheet name="Sheet2" sheetId="2" r:id="rId2"/>
  </sheet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V18" i="1" l="1"/>
  <c r="V16" i="1"/>
  <c r="V15" i="1"/>
  <c r="V14" i="1"/>
  <c r="V13" i="1"/>
  <c r="V12" i="1"/>
  <c r="V11" i="1"/>
  <c r="V10" i="1"/>
  <c r="V9" i="1"/>
  <c r="V8" i="1"/>
  <c r="V7" i="1"/>
  <c r="V6" i="1"/>
  <c r="V5" i="1"/>
  <c r="V4" i="1"/>
  <c r="V17" i="1"/>
  <c r="M9" i="1"/>
  <c r="L9" i="1"/>
  <c r="M14" i="1"/>
  <c r="M15" i="1"/>
  <c r="M16" i="1"/>
  <c r="M18" i="1"/>
  <c r="L18" i="1"/>
  <c r="L16" i="1"/>
  <c r="L15" i="1"/>
  <c r="L14" i="1"/>
  <c r="D14" i="1"/>
  <c r="D15" i="1"/>
  <c r="D16" i="1"/>
  <c r="D18" i="1"/>
  <c r="F18" i="1"/>
  <c r="F16" i="1"/>
  <c r="F15" i="1"/>
  <c r="F14" i="1"/>
  <c r="V19" i="1"/>
</calcChain>
</file>

<file path=xl/comments1.xml><?xml version="1.0" encoding="utf-8"?>
<comments xmlns="http://schemas.openxmlformats.org/spreadsheetml/2006/main">
  <authors>
    <author>Andy Platt</author>
    <author>Michelle Burns</author>
    <author>NREL</author>
  </authors>
  <commentList>
    <comment ref="P3" authorId="0">
      <text>
        <r>
          <rPr>
            <b/>
            <sz val="9"/>
            <color indexed="81"/>
            <rFont val="Tahoma"/>
            <family val="2"/>
          </rPr>
          <t>Andy Platt:</t>
        </r>
        <r>
          <rPr>
            <sz val="9"/>
            <color indexed="81"/>
            <rFont val="Tahoma"/>
            <family val="2"/>
          </rPr>
          <t xml:space="preserve">
Add 60 seconds to all these for the simulation values.  Ignoring the first 30 seconds.</t>
        </r>
      </text>
    </comment>
    <comment ref="W3" authorId="0">
      <text>
        <r>
          <rPr>
            <b/>
            <sz val="9"/>
            <color indexed="81"/>
            <rFont val="Tahoma"/>
            <family val="2"/>
          </rPr>
          <t>Andy Platt:</t>
        </r>
        <r>
          <rPr>
            <sz val="9"/>
            <color indexed="81"/>
            <rFont val="Tahoma"/>
            <family val="2"/>
          </rPr>
          <t xml:space="preserve">
for ultimate loads info
</t>
        </r>
      </text>
    </comment>
    <comment ref="B5" authorId="0">
      <text>
        <r>
          <rPr>
            <b/>
            <sz val="9"/>
            <color indexed="81"/>
            <rFont val="Calibri"/>
            <family val="2"/>
          </rPr>
          <t>Andy Platt:</t>
        </r>
        <r>
          <rPr>
            <sz val="9"/>
            <color indexed="81"/>
            <rFont val="Calibri"/>
            <family val="2"/>
          </rPr>
          <t xml:space="preserve">
same as 1.1 except for post processing.
</t>
        </r>
      </text>
    </comment>
    <comment ref="H7" authorId="0">
      <text>
        <r>
          <rPr>
            <b/>
            <sz val="9"/>
            <color indexed="81"/>
            <rFont val="Tahoma"/>
            <family val="2"/>
          </rPr>
          <t>Andy Platt:</t>
        </r>
        <r>
          <rPr>
            <sz val="9"/>
            <color indexed="81"/>
            <rFont val="Tahoma"/>
            <family val="2"/>
          </rPr>
          <t xml:space="preserve">
ECD+r-2.0
ECD-r-2.0
ECD+r
ECD-r
ECD+r+2.0
ECD-r+2.0</t>
        </r>
      </text>
    </comment>
    <comment ref="H8" authorId="0">
      <text>
        <r>
          <rPr>
            <b/>
            <sz val="9"/>
            <color indexed="81"/>
            <rFont val="Tahoma"/>
            <family val="2"/>
          </rPr>
          <t>Andy Platt:</t>
        </r>
        <r>
          <rPr>
            <sz val="9"/>
            <color indexed="81"/>
            <rFont val="Tahoma"/>
            <family val="2"/>
          </rPr>
          <t xml:space="preserve">
EWSV+04.0
EWSV+06.0
EWSV+08.0
EWSV+10.0
EWSV+12.0
EWSV+14.0
EWSV+16.0
EWSV+18.0
EWSV+20.0
EWSV+22.0
EWSV+24.0
EWSV-04.0
EWSV-06.0
EWSV-08.0
EWSV-10.0
EWSV-12.0
EWSV-14.0
EWSV-16.0
EWSV-18.0
EWSV-20.0
EWSV-22.0
EWSV-24.0
EWSH+04.0
EWSH+06.0
EWSH+08.0
EWSH+10.0
EWSH+12.0
EWSH+14.0
EWSH+16.0
EWSH+18.0
EWSH+20.0
EWSH+22.0
EWSH+24.0
EWSH-04.0
EWSH-06.0
EWSH-08.0
EWSH-10.0
EWSH-12.0
EWSH-14.0
EWSH-16.0
EWSH-18.0
EWSH-20.0
EWSH-22.0
EWSH-24.0</t>
        </r>
      </text>
    </comment>
    <comment ref="J9" authorId="0">
      <text>
        <r>
          <rPr>
            <b/>
            <sz val="9"/>
            <color indexed="81"/>
            <rFont val="Calibri"/>
            <family val="2"/>
          </rPr>
          <t>Andy Platt:</t>
        </r>
        <r>
          <rPr>
            <sz val="9"/>
            <color indexed="81"/>
            <rFont val="Calibri"/>
            <family val="2"/>
          </rPr>
          <t xml:space="preserve">
Using 50 year return.  See 61400-3, page 24
</t>
        </r>
      </text>
    </comment>
    <comment ref="B10" authorId="0">
      <text>
        <r>
          <rPr>
            <b/>
            <sz val="9"/>
            <color indexed="81"/>
            <rFont val="Tahoma"/>
            <family val="2"/>
          </rPr>
          <t>Andy Platt:</t>
        </r>
        <r>
          <rPr>
            <sz val="9"/>
            <color indexed="81"/>
            <rFont val="Tahoma"/>
            <family val="2"/>
          </rPr>
          <t xml:space="preserve">
same as 1.1 but with a fault condition</t>
        </r>
      </text>
    </comment>
    <comment ref="H11" authorId="0">
      <text>
        <r>
          <rPr>
            <b/>
            <sz val="9"/>
            <color indexed="81"/>
            <rFont val="Tahoma"/>
            <family val="2"/>
          </rPr>
          <t>Andy Platt:</t>
        </r>
        <r>
          <rPr>
            <sz val="9"/>
            <color indexed="81"/>
            <rFont val="Tahoma"/>
            <family val="2"/>
          </rPr>
          <t xml:space="preserve">
EOGr+2.0
EOGr-2.0
EOGo</t>
        </r>
      </text>
    </comment>
    <comment ref="A12" authorId="1">
      <text>
        <r>
          <rPr>
            <b/>
            <sz val="9"/>
            <color indexed="81"/>
            <rFont val="Calibri"/>
            <family val="2"/>
          </rPr>
          <t>Michelle Burns:</t>
        </r>
        <r>
          <rPr>
            <sz val="9"/>
            <color indexed="81"/>
            <rFont val="Calibri"/>
            <family val="2"/>
          </rPr>
          <t xml:space="preserve">
Don't have FAST capabilities to run yet</t>
        </r>
      </text>
    </comment>
    <comment ref="B12" authorId="0">
      <text>
        <r>
          <rPr>
            <b/>
            <sz val="9"/>
            <color indexed="81"/>
            <rFont val="Calibri"/>
            <family val="2"/>
          </rPr>
          <t>Andy Platt:</t>
        </r>
        <r>
          <rPr>
            <sz val="9"/>
            <color indexed="81"/>
            <rFont val="Calibri"/>
            <family val="2"/>
          </rPr>
          <t xml:space="preserve">
Might ignore this.</t>
        </r>
      </text>
    </comment>
    <comment ref="Z12" authorId="0">
      <text>
        <r>
          <rPr>
            <b/>
            <sz val="9"/>
            <color indexed="81"/>
            <rFont val="Calibri"/>
            <family val="2"/>
          </rPr>
          <t>Andy Platt:</t>
        </r>
        <r>
          <rPr>
            <sz val="9"/>
            <color indexed="81"/>
            <rFont val="Calibri"/>
            <family val="2"/>
          </rPr>
          <t xml:space="preserve">
May not be correct.  Don't know this controller.  
The issue may be that FAST can't do it, not the controller.
Not sure how we can do this in FAST.
</t>
        </r>
      </text>
    </comment>
    <comment ref="A13" authorId="1">
      <text>
        <r>
          <rPr>
            <b/>
            <sz val="9"/>
            <color indexed="81"/>
            <rFont val="Calibri"/>
            <family val="2"/>
          </rPr>
          <t>Michelle Burns:</t>
        </r>
        <r>
          <rPr>
            <sz val="9"/>
            <color indexed="81"/>
            <rFont val="Calibri"/>
            <family val="2"/>
          </rPr>
          <t xml:space="preserve">
Don't have FAST capabilities to run yet</t>
        </r>
      </text>
    </comment>
    <comment ref="W13" authorId="2">
      <text>
        <r>
          <rPr>
            <b/>
            <sz val="9"/>
            <color indexed="81"/>
            <rFont val="Tahoma"/>
            <family val="2"/>
          </rPr>
          <t>NREL:</t>
        </r>
        <r>
          <rPr>
            <sz val="9"/>
            <color indexed="81"/>
            <rFont val="Tahoma"/>
            <family val="2"/>
          </rPr>
          <t xml:space="preserve">
I think you are correct using 1.35 -- I believe the "normal" safety factor is used.</t>
        </r>
      </text>
    </comment>
    <comment ref="H17" authorId="0">
      <text>
        <r>
          <rPr>
            <b/>
            <sz val="9"/>
            <color indexed="81"/>
            <rFont val="Calibri"/>
            <family val="2"/>
          </rPr>
          <t>Andy Platt:</t>
        </r>
        <r>
          <rPr>
            <sz val="9"/>
            <color indexed="81"/>
            <rFont val="Calibri"/>
            <family val="2"/>
          </rPr>
          <t xml:space="preserve">
set the time to 600 seconds.</t>
        </r>
      </text>
    </comment>
    <comment ref="B18" authorId="0">
      <text>
        <r>
          <rPr>
            <b/>
            <sz val="9"/>
            <color indexed="81"/>
            <rFont val="Tahoma"/>
            <family val="2"/>
          </rPr>
          <t>Andy Platt:</t>
        </r>
        <r>
          <rPr>
            <sz val="9"/>
            <color indexed="81"/>
            <rFont val="Tahoma"/>
            <family val="2"/>
          </rPr>
          <t xml:space="preserve">
note similarity to the others.</t>
        </r>
      </text>
    </comment>
  </commentList>
</comments>
</file>

<file path=xl/sharedStrings.xml><?xml version="1.0" encoding="utf-8"?>
<sst xmlns="http://schemas.openxmlformats.org/spreadsheetml/2006/main" count="238" uniqueCount="154">
  <si>
    <t>DLC</t>
  </si>
  <si>
    <t>Gamma</t>
  </si>
  <si>
    <t>Wind Info</t>
  </si>
  <si>
    <t>Wave Info</t>
  </si>
  <si>
    <t>Current (m/s)</t>
  </si>
  <si>
    <t>Tp (s)</t>
  </si>
  <si>
    <t>Shear Exp.</t>
  </si>
  <si>
    <t>Direction</t>
  </si>
  <si>
    <t xml:space="preserve"> Simulations</t>
  </si>
  <si>
    <t>Total</t>
  </si>
  <si>
    <t>Yaw Angle</t>
  </si>
  <si>
    <t>330,0,30</t>
  </si>
  <si>
    <t>Comments</t>
  </si>
  <si>
    <t>Length (s)</t>
  </si>
  <si>
    <t>Wind speeds</t>
  </si>
  <si>
    <t>Seeds (#)</t>
  </si>
  <si>
    <t>Power Production</t>
  </si>
  <si>
    <t>Power Plus Fault</t>
  </si>
  <si>
    <t>Parked</t>
  </si>
  <si>
    <t>Parked Plus Fault</t>
  </si>
  <si>
    <t>Safety Factor</t>
  </si>
  <si>
    <t>NTM, Class C</t>
  </si>
  <si>
    <t>ETM, Class C</t>
  </si>
  <si>
    <t>EWS</t>
  </si>
  <si>
    <t>EWS model</t>
  </si>
  <si>
    <t>340, 0, 20</t>
  </si>
  <si>
    <t>352, 0, 8</t>
  </si>
  <si>
    <t>Loss of electrical network - Idling; all blades feathered; loss of yaw control; yaw errors up to +/-180°</t>
  </si>
  <si>
    <t>Wind Cond.</t>
  </si>
  <si>
    <t>NTM</t>
  </si>
  <si>
    <t>ECD</t>
  </si>
  <si>
    <t>EOG</t>
  </si>
  <si>
    <t>Turb. EWM</t>
  </si>
  <si>
    <t>0-360 (20 deg steps)</t>
  </si>
  <si>
    <r>
      <t xml:space="preserve">7.1a from IEC. Idling; </t>
    </r>
    <r>
      <rPr>
        <sz val="11"/>
        <color rgb="FFFF0000"/>
        <rFont val="Calibri"/>
        <family val="2"/>
        <scheme val="minor"/>
      </rPr>
      <t>blade 1 stuck at set point,</t>
    </r>
    <r>
      <rPr>
        <sz val="11"/>
        <color theme="1"/>
        <rFont val="Calibri"/>
        <family val="2"/>
        <scheme val="minor"/>
      </rPr>
      <t xml:space="preserve"> blades 2 and 3 feathered</t>
    </r>
  </si>
  <si>
    <t>Idling; all blades feathered; extreme yaw MIS - yaw error up to +/-20°</t>
  </si>
  <si>
    <t xml:space="preserve">Extreme operating gust - defined in TurbSim. Loss of generator torque, all blades pitch to feather at 8°/s after 0.2sec delay - accomplished in .fst file. Note, polynomial for Hs goes down after 24 m/s wind - so kept Hs value for 24 rather than 25.  </t>
  </si>
  <si>
    <t>Blade 1 pitch runaway to set point at 8°/s; blades 2 and 3 to feather after 0.2sec delay - defined in .fst file.</t>
  </si>
  <si>
    <t>ETM</t>
  </si>
  <si>
    <t>No point in doing current for the semi - since calculation would only apply to main column. TI is based on wind speed.</t>
  </si>
  <si>
    <t>Cut-in is 3 m/s and cutout is 25 m/s; 50-yr extreme wave correlated for each wind speed - or as conservative - use 50-yr extreme value across all wind speeds (that is what is done here).  No scaling is mentioned for this load case.</t>
  </si>
  <si>
    <t>Velocity extrapolated to 100 m HH and scaled by 0.95 for 1-hr sim; 50-yr extreme scaled by k2 = 1.09, and for the remaining load cases as well.</t>
  </si>
  <si>
    <t>pos/neg gusts</t>
  </si>
  <si>
    <t>Extreme coherent gust with direction change - defined in TurbSim. At rated, 2 below, and 2 above; both a positive and negative angle for the gust.</t>
  </si>
  <si>
    <t>wind file generated by</t>
  </si>
  <si>
    <t xml:space="preserve">IECWind  </t>
  </si>
  <si>
    <t>seed start</t>
  </si>
  <si>
    <t>-</t>
  </si>
  <si>
    <t>GenTurb NTM_600s</t>
  </si>
  <si>
    <t>GenTurb NTM_3600s</t>
  </si>
  <si>
    <t>GenTurb 1EWM1_3600s</t>
  </si>
  <si>
    <t>GenTurb IEWM50_3600s</t>
  </si>
  <si>
    <t>GenTurb 1ETM_600s</t>
  </si>
  <si>
    <t>Turb. Int. (or %)</t>
  </si>
  <si>
    <r>
      <t xml:space="preserve">Extreme wind shear - defined in TurbSim. Only 60 seconds is needed for stochastic simulations. </t>
    </r>
    <r>
      <rPr>
        <sz val="11"/>
        <color rgb="FFFF0000"/>
        <rFont val="Calibri"/>
        <family val="2"/>
        <scheme val="minor"/>
      </rPr>
      <t>11 wind speeds, vertical/horizontal gust, gust +/-.</t>
    </r>
  </si>
  <si>
    <t>Wave cond.</t>
  </si>
  <si>
    <t>NSS</t>
  </si>
  <si>
    <t>SSS</t>
  </si>
  <si>
    <t>GenTurb NTM_600p</t>
  </si>
  <si>
    <t>Pitch / Surge offset?</t>
  </si>
  <si>
    <t>Y</t>
  </si>
  <si>
    <t>N</t>
  </si>
  <si>
    <t>1yr</t>
  </si>
  <si>
    <t>50 year</t>
  </si>
  <si>
    <t>Turbine specs</t>
  </si>
  <si>
    <t>Vr</t>
  </si>
  <si>
    <t>m/s</t>
  </si>
  <si>
    <t>auto</t>
  </si>
  <si>
    <t>Scaling factor for wave height (IEC 61400-3, p 45) for converting 3 hour average into 1 hour average</t>
  </si>
  <si>
    <t>Scaling factor for windspeed to get from 10 minute to 1 hour data  (IEC 61400-3, p 45):</t>
  </si>
  <si>
    <t>ESS Hs50</t>
  </si>
  <si>
    <t>ESS Hs1</t>
  </si>
  <si>
    <t>Turb. NTM</t>
  </si>
  <si>
    <t>4, 6, 8, 10, 12, 14, 16, 18, 20, 22, 24, 26, 28, 30, 32, 34</t>
  </si>
  <si>
    <t>Ultimate</t>
  </si>
  <si>
    <t>Materials</t>
  </si>
  <si>
    <t>Failure consequence</t>
  </si>
  <si>
    <t>1.1, 1.2</t>
  </si>
  <si>
    <t>1.15, 1.30</t>
  </si>
  <si>
    <t>Fatigue case.  Normal running conditions.  This is an evaluation of the DLC 1.1 results for fatigue.</t>
  </si>
  <si>
    <t>4, 6, 8, 10, 12, 14, 16, 18, 20, 22, 24</t>
  </si>
  <si>
    <t>8.4, 10.4, 12.4</t>
  </si>
  <si>
    <t>8.4, 12.4, 25</t>
  </si>
  <si>
    <t>Genturb NTM_600P</t>
  </si>
  <si>
    <t>Emergency shutdown</t>
  </si>
  <si>
    <t>Vr+/-2, Vout</t>
  </si>
  <si>
    <t>Emergency shutdown, expect large tower displacement, bending moments on blades, etc.</t>
  </si>
  <si>
    <t>Expected effects</t>
  </si>
  <si>
    <t>Fatigue</t>
  </si>
  <si>
    <t xml:space="preserve">Need the shutdown sea state.  We want to run this just below the highest sea state before the turbine would be shutdown.  This is in the future technical spec (IEC ?).  Mooring system, </t>
  </si>
  <si>
    <t>Mooring system (yaw, pitch, roll, surge etc).</t>
  </si>
  <si>
    <t>Not expected to contribute to maximum loading.</t>
  </si>
  <si>
    <t>Mooring system (yaw, pitch, roll, surge etc).  Gust at surge or pitch natural frequency.</t>
  </si>
  <si>
    <t>Fatigue case.  Parked conditions.</t>
  </si>
  <si>
    <t>ESS 1 yr</t>
  </si>
  <si>
    <t>Hs</t>
  </si>
  <si>
    <t>Tp</t>
  </si>
  <si>
    <t>ESS 50 yr</t>
  </si>
  <si>
    <t>  WSbin     nws  HMO  -1sd  +1sd   | Tmean -1sd  +1sd</t>
  </si>
  <si>
    <t xml:space="preserve">   (0,3]  21161 0.647 0.260 1.034  | 7.503 6.194 8.813 </t>
  </si>
  <si>
    <t xml:space="preserve">   (3,5]  58087 0.672 0.258 1.086  | 7.495 6.045 8.946 </t>
  </si>
  <si>
    <t xml:space="preserve">   (5,7]  64085 0.745 0.302 1.188  | 7.147 5.465 8.829 </t>
  </si>
  <si>
    <t xml:space="preserve">   (7,9]  47990 0.899 0.427 1.370  | 6.436 4.634 8.238 </t>
  </si>
  <si>
    <t xml:space="preserve">  (9,11]  33561 1.116 0.608 1.625  | 5.940 4.237 7.644 </t>
  </si>
  <si>
    <t xml:space="preserve"> (11,13]  26603 1.358 0.821 1.894  | 5.711 4.181 7.241 </t>
  </si>
  <si>
    <t xml:space="preserve"> (13,15]  16877 1.655 1.052 2.258  | 5.749 4.348 7.151 </t>
  </si>
  <si>
    <t xml:space="preserve"> (15,17]  10551 1.920 1.299 2.540  | 5.828 4.545 7.110 </t>
  </si>
  <si>
    <t xml:space="preserve"> (17,19]   5352 2.289 1.590 2.988  | 6.091 4.873 7.310 </t>
  </si>
  <si>
    <t xml:space="preserve"> (19,21]   3156 2.761 1.896 3.625  | 6.486 5.205 7.768 </t>
  </si>
  <si>
    <t xml:space="preserve"> (21,23]   1132 3.266 2.244 4.287  | 6.869 5.473 8.265 </t>
  </si>
  <si>
    <t xml:space="preserve"> (23,25]    470 4.177 2.926 5.428  | 7.729 6.187 9.270 </t>
  </si>
  <si>
    <t xml:space="preserve"> (25,27]    171 4.639 3.345 5.933  | 7.981 6.523 9.439 </t>
  </si>
  <si>
    <t xml:space="preserve"> (27,29]     60 5.269 4.064 6.474  | 8.389 7.136 9.643 </t>
  </si>
  <si>
    <t xml:space="preserve"> (29,31]     36 5.572 4.887 6.257  | 8.617 7.902 9.333 </t>
  </si>
  <si>
    <t xml:space="preserve"> (31,33]      1 5.440   NaN   NaN  | 7.520   NaN   NaN </t>
  </si>
  <si>
    <t xml:space="preserve"> (35,99]      2 6.065 5.959 6.171  | 8.400 8.089 8.711 </t>
  </si>
  <si>
    <t>Here are WS extremes (at 98.2m) :</t>
  </si>
  <si>
    <t>1 yr: 24.7 mps</t>
  </si>
  <si>
    <t>50 yr: 36.3 mps</t>
  </si>
  <si>
    <t>Wind Speed (m/s)</t>
  </si>
  <si>
    <t>Unscaled Hs (m)</t>
  </si>
  <si>
    <t>Not using</t>
  </si>
  <si>
    <t>Not using - unless for 36</t>
  </si>
  <si>
    <t>0.672, 0.745, 0.899, 1.116, 1.358, 1.655, 1.92, 2.289, 2.761, 3.266, 4.177</t>
  </si>
  <si>
    <t>7.495, 7.147, 6.436, 5.94, 5.711, 5.749, 5.828, 6.091, 6.486, 6.869, 7.729</t>
  </si>
  <si>
    <t>Start up</t>
  </si>
  <si>
    <t>NWP</t>
  </si>
  <si>
    <t>No start-up/ shut-down control algorithym implemented in 6MW controller</t>
  </si>
  <si>
    <t>NSS wind/wave correlation data provided by George Scott.  See saved e-mail text in Setup folder</t>
  </si>
  <si>
    <t>V (m/s) -- DO NOT SCALE</t>
  </si>
  <si>
    <t>NSS data</t>
  </si>
  <si>
    <t>Num Samples</t>
  </si>
  <si>
    <t>Tp Min</t>
  </si>
  <si>
    <t>Tp Max</t>
  </si>
  <si>
    <t>Note: for 32 and 34 m/s, using the 30 m/s values for Hs and Tp since too few samples.</t>
  </si>
  <si>
    <t>WS</t>
  </si>
  <si>
    <t>Note: WS is center of 2 m/s wind speed bin.</t>
  </si>
  <si>
    <t>Note: All data is 1 hour, so do not scale.</t>
  </si>
  <si>
    <t>1 hour data</t>
  </si>
  <si>
    <t>Wave periods</t>
  </si>
  <si>
    <t>Note: for SSS, we are using the 50 year return.  See page 24 of IEC 61400-3</t>
  </si>
  <si>
    <t>Yaw Angles</t>
  </si>
  <si>
    <t>Wave Directions</t>
  </si>
  <si>
    <t>Hub height</t>
  </si>
  <si>
    <t>m</t>
  </si>
  <si>
    <t>Extreme Event Wind Speeds</t>
  </si>
  <si>
    <t>V</t>
  </si>
  <si>
    <t>0.672, 0.745, 0.899,1.116,1.358,1.655,1.92,2.289,2.761,3.266, 4.177</t>
  </si>
  <si>
    <t>7.495,7.147,6.436,5.94,5.711,5.749,5.828,6.091,6.486,6.869,7.729</t>
  </si>
  <si>
    <t>6.436, 5.94, 5.711</t>
  </si>
  <si>
    <t>.899, 1.116, 1.358</t>
  </si>
  <si>
    <t>0.672, 0.745, 0.899,1.116,1.358,1.655,1.92,2.289,2.761,3.266, 4.177,4.639,5.269,5.572,5.572,5.572</t>
  </si>
  <si>
    <t>7.495,7.147,6.436,5.94,5.711,5.749,5.828,6.091,6.486,6.869,7.729,7.981,8.389,8.617,8.617,8.617</t>
  </si>
  <si>
    <t>Select DLC</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</si>
</sst>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8" x14ac:knownFonts="1">
    <font>
      <sz val="11"/>
      <color theme="1"/>
      <name val="Calibri"/>
      <family val="2"/>
      <scheme val="minor"/>
    </font>
    <font>
      <b/>
      <sz val="11"/>
      <color theme="1"/>
      <name val="Calibri"/>
      <family val="2"/>
      <scheme val="minor"/>
    </font>
    <font>
      <sz val="11"/>
      <color rgb="FFFF0000"/>
      <name val="Calibri"/>
      <family val="2"/>
      <scheme val="minor"/>
    </font>
    <font>
      <b/>
      <sz val="11"/>
      <name val="Calibri"/>
      <family val="2"/>
      <scheme val="minor"/>
    </font>
    <font>
      <sz val="9"/>
      <color indexed="81"/>
      <name val="Tahoma"/>
      <family val="2"/>
    </font>
    <font>
      <b/>
      <sz val="9"/>
      <color indexed="81"/>
      <name val="Tahoma"/>
      <family val="2"/>
    </font>
    <font>
      <sz val="11"/>
      <color rgb="FF006100"/>
      <name val="Calibri"/>
      <family val="2"/>
      <scheme val="minor"/>
    </font>
    <font>
      <sz val="11"/>
      <color rgb="FF9C0006"/>
      <name val="Calibri"/>
      <family val="2"/>
      <scheme val="minor"/>
    </font>
    <font>
      <sz val="11"/>
      <name val="Calibri"/>
      <family val="2"/>
      <scheme val="minor"/>
    </font>
    <font>
      <sz val="9"/>
      <color indexed="81"/>
      <name val="Calibri"/>
      <family val="2"/>
    </font>
    <font>
      <b/>
      <sz val="9"/>
      <color indexed="81"/>
      <name val="Calibri"/>
      <family val="2"/>
    </font>
    <font>
      <u/>
      <sz val="11"/>
      <color theme="10"/>
      <name val="Calibri"/>
      <family val="2"/>
      <scheme val="minor"/>
    </font>
    <font>
      <u/>
      <sz val="11"/>
      <color theme="11"/>
      <name val="Calibri"/>
      <family val="2"/>
      <scheme val="minor"/>
    </font>
    <font>
      <sz val="10"/>
      <color rgb="FF000000"/>
      <name val="Lucida Console"/>
      <family val="3"/>
    </font>
    <font>
      <sz val="11"/>
      <color rgb="FF1F497D"/>
      <name val="Calibri"/>
      <family val="2"/>
    </font>
    <font>
      <sz val="11"/>
      <color rgb="FF000000"/>
      <name val="Calibri"/>
      <family val="2"/>
      <scheme val="minor"/>
    </font>
    <font>
      <sz val="11"/>
      <color theme="3" tint="0.39997558519241921"/>
      <name val="Calibri"/>
      <scheme val="minor"/>
    </font>
    <font>
      <sz val="16"/>
      <color theme="1"/>
      <name val="Calibri"/>
      <scheme val="minor"/>
    </font>
  </fonts>
  <fills count="9">
    <fill>
      <patternFill patternType="none"/>
    </fill>
    <fill>
      <patternFill patternType="gray125"/>
    </fill>
    <fill>
      <patternFill patternType="solid">
        <fgColor theme="0" tint="-0.14996795556505021"/>
        <bgColor indexed="64"/>
      </patternFill>
    </fill>
    <fill>
      <patternFill patternType="solid">
        <fgColor theme="9" tint="0.59996337778862885"/>
        <bgColor indexed="64"/>
      </patternFill>
    </fill>
    <fill>
      <patternFill patternType="solid">
        <fgColor theme="8" tint="0.59996337778862885"/>
        <bgColor indexed="64"/>
      </patternFill>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0"/>
        <bgColor indexed="64"/>
      </patternFill>
    </fill>
  </fills>
  <borders count="39">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style="thin">
        <color auto="1"/>
      </top>
      <bottom/>
      <diagonal/>
    </border>
    <border>
      <left/>
      <right style="thin">
        <color auto="1"/>
      </right>
      <top/>
      <bottom/>
      <diagonal/>
    </border>
    <border>
      <left style="thin">
        <color auto="1"/>
      </left>
      <right/>
      <top/>
      <bottom style="thin">
        <color auto="1"/>
      </bottom>
      <diagonal/>
    </border>
    <border>
      <left style="thin">
        <color auto="1"/>
      </left>
      <right/>
      <top/>
      <bottom/>
      <diagonal/>
    </border>
    <border>
      <left/>
      <right style="thin">
        <color auto="1"/>
      </right>
      <top style="thin">
        <color auto="1"/>
      </top>
      <bottom/>
      <diagonal/>
    </border>
    <border>
      <left/>
      <right/>
      <top style="thin">
        <color auto="1"/>
      </top>
      <bottom/>
      <diagonal/>
    </border>
    <border>
      <left/>
      <right/>
      <top/>
      <bottom style="thin">
        <color auto="1"/>
      </bottom>
      <diagonal/>
    </border>
    <border>
      <left style="thin">
        <color auto="1"/>
      </left>
      <right style="thin">
        <color auto="1"/>
      </right>
      <top style="thin">
        <color auto="1"/>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medium">
        <color auto="1"/>
      </top>
      <bottom/>
      <diagonal/>
    </border>
    <border>
      <left style="thin">
        <color auto="1"/>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style="thin">
        <color auto="1"/>
      </left>
      <right/>
      <top/>
      <bottom style="medium">
        <color auto="1"/>
      </bottom>
      <diagonal/>
    </border>
    <border>
      <left/>
      <right style="thin">
        <color auto="1"/>
      </right>
      <top/>
      <bottom style="medium">
        <color auto="1"/>
      </bottom>
      <diagonal/>
    </border>
    <border>
      <left style="medium">
        <color auto="1"/>
      </left>
      <right style="thin">
        <color auto="1"/>
      </right>
      <top style="medium">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double">
        <color auto="1"/>
      </left>
      <right/>
      <top style="double">
        <color auto="1"/>
      </top>
      <bottom/>
      <diagonal/>
    </border>
    <border>
      <left/>
      <right/>
      <top style="double">
        <color auto="1"/>
      </top>
      <bottom style="medium">
        <color auto="1"/>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s>
  <cellStyleXfs count="65">
    <xf numFmtId="0" fontId="0" fillId="0" borderId="0"/>
    <xf numFmtId="0" fontId="6" fillId="5" borderId="0" applyNumberFormat="0" applyBorder="0" applyAlignment="0" applyProtection="0"/>
    <xf numFmtId="0" fontId="7" fillId="6"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197">
    <xf numFmtId="0" fontId="0" fillId="0" borderId="0" xfId="0"/>
    <xf numFmtId="0" fontId="0" fillId="0" borderId="0" xfId="0" applyAlignment="1">
      <alignment horizontal="left"/>
    </xf>
    <xf numFmtId="0" fontId="0" fillId="2" borderId="0" xfId="0" applyFill="1" applyAlignment="1">
      <alignment horizontal="left"/>
    </xf>
    <xf numFmtId="0" fontId="0" fillId="3" borderId="1" xfId="0" applyFill="1" applyBorder="1" applyAlignment="1">
      <alignment horizontal="center" wrapText="1"/>
    </xf>
    <xf numFmtId="0" fontId="0" fillId="4" borderId="1" xfId="0" applyFill="1" applyBorder="1" applyAlignment="1">
      <alignment horizontal="center" wrapText="1"/>
    </xf>
    <xf numFmtId="0" fontId="0" fillId="2" borderId="1" xfId="0" applyFont="1" applyFill="1" applyBorder="1" applyAlignment="1">
      <alignment horizontal="center" wrapText="1"/>
    </xf>
    <xf numFmtId="0" fontId="0" fillId="0" borderId="0" xfId="0" applyAlignment="1">
      <alignment wrapText="1"/>
    </xf>
    <xf numFmtId="0" fontId="0" fillId="0" borderId="0" xfId="0" applyFill="1" applyAlignment="1">
      <alignment horizontal="left"/>
    </xf>
    <xf numFmtId="0" fontId="1" fillId="2" borderId="9" xfId="0" applyFont="1" applyFill="1" applyBorder="1" applyAlignment="1">
      <alignment horizontal="center" vertical="center"/>
    </xf>
    <xf numFmtId="0" fontId="1" fillId="2" borderId="9" xfId="0" applyFont="1" applyFill="1" applyBorder="1" applyAlignment="1">
      <alignment horizontal="center" vertical="center"/>
    </xf>
    <xf numFmtId="0" fontId="0" fillId="0" borderId="0" xfId="0" applyAlignment="1">
      <alignment vertical="center"/>
    </xf>
    <xf numFmtId="0" fontId="0" fillId="0" borderId="0"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wrapText="1"/>
    </xf>
    <xf numFmtId="0" fontId="0" fillId="0" borderId="9" xfId="0" applyBorder="1" applyAlignment="1">
      <alignment horizontal="center" vertical="center" wrapText="1"/>
    </xf>
    <xf numFmtId="0" fontId="0" fillId="0" borderId="13" xfId="0" applyBorder="1" applyAlignment="1">
      <alignment horizontal="center" vertical="center"/>
    </xf>
    <xf numFmtId="0" fontId="0" fillId="0" borderId="12" xfId="0" applyBorder="1" applyAlignment="1">
      <alignment horizontal="center" vertical="center"/>
    </xf>
    <xf numFmtId="0" fontId="0" fillId="0" borderId="7" xfId="0" applyBorder="1" applyAlignment="1">
      <alignment vertical="center" wrapText="1"/>
    </xf>
    <xf numFmtId="0" fontId="0" fillId="0" borderId="2" xfId="0" applyBorder="1" applyAlignment="1">
      <alignment vertical="center" wrapText="1"/>
    </xf>
    <xf numFmtId="0" fontId="3" fillId="2" borderId="6" xfId="0" applyFont="1" applyFill="1" applyBorder="1" applyAlignment="1">
      <alignment horizontal="center" vertical="center"/>
    </xf>
    <xf numFmtId="0" fontId="3" fillId="2" borderId="12" xfId="0" applyFont="1" applyFill="1" applyBorder="1" applyAlignment="1">
      <alignment horizontal="center" vertical="center"/>
    </xf>
    <xf numFmtId="0" fontId="3" fillId="2" borderId="9" xfId="0" applyFont="1" applyFill="1" applyBorder="1" applyAlignment="1">
      <alignment horizontal="center" vertical="center"/>
    </xf>
    <xf numFmtId="0" fontId="0" fillId="0" borderId="14" xfId="0" applyBorder="1" applyAlignment="1">
      <alignment horizontal="center" vertical="center"/>
    </xf>
    <xf numFmtId="0" fontId="0" fillId="0" borderId="6" xfId="0" applyBorder="1" applyAlignment="1">
      <alignment horizontal="center" vertical="center"/>
    </xf>
    <xf numFmtId="0" fontId="0" fillId="0" borderId="0" xfId="0" applyFill="1" applyAlignment="1">
      <alignment horizontal="left" wrapText="1"/>
    </xf>
    <xf numFmtId="0" fontId="0" fillId="2" borderId="0" xfId="0" applyFill="1" applyAlignment="1">
      <alignment horizontal="left" wrapText="1"/>
    </xf>
    <xf numFmtId="0" fontId="0" fillId="0" borderId="14" xfId="0" applyBorder="1" applyAlignment="1">
      <alignment horizontal="center" vertical="center" wrapText="1"/>
    </xf>
    <xf numFmtId="0" fontId="0" fillId="0" borderId="15" xfId="0" applyBorder="1" applyAlignment="1">
      <alignment vertical="center" wrapText="1"/>
    </xf>
    <xf numFmtId="0" fontId="0" fillId="0" borderId="2" xfId="0" applyBorder="1" applyAlignment="1">
      <alignment wrapText="1"/>
    </xf>
    <xf numFmtId="0" fontId="0" fillId="0" borderId="4" xfId="0" applyBorder="1" applyAlignment="1">
      <alignment horizontal="center" vertical="center"/>
    </xf>
    <xf numFmtId="0" fontId="0" fillId="0" borderId="5" xfId="0" applyBorder="1" applyAlignment="1">
      <alignment horizontal="center" vertical="center"/>
    </xf>
    <xf numFmtId="0" fontId="0" fillId="0" borderId="1" xfId="0" applyBorder="1" applyAlignment="1">
      <alignment vertical="center" wrapText="1"/>
    </xf>
    <xf numFmtId="0" fontId="0" fillId="0" borderId="0" xfId="0" applyFill="1" applyBorder="1" applyAlignment="1">
      <alignment horizontal="center" vertical="center"/>
    </xf>
    <xf numFmtId="0" fontId="1" fillId="2" borderId="9" xfId="0" applyFont="1" applyFill="1" applyBorder="1" applyAlignment="1">
      <alignment horizontal="center" vertical="center"/>
    </xf>
    <xf numFmtId="0" fontId="0" fillId="0" borderId="13" xfId="0" applyBorder="1" applyAlignment="1">
      <alignment horizontal="center" vertical="center" wrapText="1"/>
    </xf>
    <xf numFmtId="0" fontId="1" fillId="3" borderId="0" xfId="0" applyFont="1" applyFill="1" applyBorder="1" applyAlignment="1">
      <alignment horizontal="center" vertical="center"/>
    </xf>
    <xf numFmtId="0" fontId="8" fillId="0" borderId="0" xfId="1" applyFont="1" applyFill="1" applyAlignment="1">
      <alignment horizontal="center" vertical="center" wrapText="1"/>
    </xf>
    <xf numFmtId="0" fontId="8" fillId="0" borderId="0" xfId="0" applyFont="1" applyFill="1" applyBorder="1" applyAlignment="1">
      <alignment horizontal="center" vertical="center"/>
    </xf>
    <xf numFmtId="0" fontId="8" fillId="0" borderId="11" xfId="0" applyFont="1" applyFill="1" applyBorder="1" applyAlignment="1">
      <alignment horizontal="center" vertical="center" wrapText="1"/>
    </xf>
    <xf numFmtId="0" fontId="8" fillId="0" borderId="0" xfId="0" applyFont="1" applyFill="1" applyBorder="1" applyAlignment="1">
      <alignment horizontal="center" vertical="center" wrapText="1"/>
    </xf>
    <xf numFmtId="0" fontId="8" fillId="0" borderId="9" xfId="0" applyFont="1" applyFill="1" applyBorder="1" applyAlignment="1">
      <alignment horizontal="center" vertical="center"/>
    </xf>
    <xf numFmtId="0" fontId="8" fillId="0" borderId="11" xfId="0" applyFont="1" applyFill="1" applyBorder="1" applyAlignment="1">
      <alignment horizontal="center" vertical="center"/>
    </xf>
    <xf numFmtId="0" fontId="8" fillId="0" borderId="0" xfId="1" applyFont="1" applyFill="1" applyBorder="1" applyAlignment="1">
      <alignment horizontal="center" vertical="center"/>
    </xf>
    <xf numFmtId="0" fontId="8" fillId="0" borderId="0" xfId="0" applyFont="1" applyFill="1" applyAlignment="1">
      <alignment horizontal="center" vertical="center" wrapText="1"/>
    </xf>
    <xf numFmtId="0" fontId="8" fillId="0" borderId="0" xfId="2" applyFont="1" applyFill="1" applyBorder="1" applyAlignment="1">
      <alignment horizontal="center" vertical="center"/>
    </xf>
    <xf numFmtId="0" fontId="8" fillId="0" borderId="14" xfId="0" applyFont="1" applyFill="1" applyBorder="1" applyAlignment="1">
      <alignment horizontal="center" vertical="center"/>
    </xf>
    <xf numFmtId="0" fontId="8" fillId="0" borderId="6" xfId="0" applyFont="1" applyFill="1" applyBorder="1" applyAlignment="1">
      <alignment horizontal="center" vertical="center"/>
    </xf>
    <xf numFmtId="0" fontId="8" fillId="0" borderId="10" xfId="0" applyFont="1" applyFill="1" applyBorder="1" applyAlignment="1">
      <alignment horizontal="center" vertical="center"/>
    </xf>
    <xf numFmtId="0" fontId="8" fillId="0" borderId="14" xfId="1" applyFont="1" applyFill="1" applyBorder="1" applyAlignment="1">
      <alignment horizontal="center" vertical="center"/>
    </xf>
    <xf numFmtId="0" fontId="8" fillId="0" borderId="8" xfId="1" applyFont="1" applyFill="1" applyBorder="1" applyAlignment="1">
      <alignment horizontal="center" vertical="center" wrapText="1"/>
    </xf>
    <xf numFmtId="0" fontId="8" fillId="0" borderId="13" xfId="0" applyFont="1" applyFill="1" applyBorder="1" applyAlignment="1">
      <alignment horizontal="center" vertical="center"/>
    </xf>
    <xf numFmtId="0" fontId="8" fillId="0" borderId="12" xfId="0" applyFont="1" applyFill="1" applyBorder="1" applyAlignment="1">
      <alignment horizontal="center" vertical="center"/>
    </xf>
    <xf numFmtId="0" fontId="8" fillId="0" borderId="8" xfId="0" applyFont="1" applyFill="1" applyBorder="1" applyAlignment="1">
      <alignment horizontal="center" vertical="center"/>
    </xf>
    <xf numFmtId="0" fontId="8" fillId="0" borderId="13" xfId="1" applyFont="1" applyFill="1" applyBorder="1" applyAlignment="1">
      <alignment horizontal="center" vertical="center"/>
    </xf>
    <xf numFmtId="0" fontId="8" fillId="0" borderId="13" xfId="1" applyFont="1" applyFill="1" applyBorder="1" applyAlignment="1">
      <alignment horizontal="center" vertical="center" wrapText="1"/>
    </xf>
    <xf numFmtId="0" fontId="8" fillId="0" borderId="11" xfId="1" applyFont="1" applyFill="1" applyBorder="1" applyAlignment="1">
      <alignment horizontal="center" vertical="center" wrapText="1"/>
    </xf>
    <xf numFmtId="0" fontId="8" fillId="0" borderId="0" xfId="1" applyFont="1" applyFill="1" applyBorder="1" applyAlignment="1">
      <alignment horizontal="center" vertical="center" wrapText="1"/>
    </xf>
    <xf numFmtId="0" fontId="8" fillId="0" borderId="4" xfId="1" applyFont="1" applyFill="1" applyBorder="1" applyAlignment="1">
      <alignment horizontal="center" vertical="center" wrapText="1"/>
    </xf>
    <xf numFmtId="0" fontId="8" fillId="0" borderId="4" xfId="0" applyFont="1" applyFill="1" applyBorder="1" applyAlignment="1">
      <alignment horizontal="center" vertical="center"/>
    </xf>
    <xf numFmtId="0" fontId="8" fillId="0" borderId="5" xfId="0" applyFont="1" applyFill="1" applyBorder="1" applyAlignment="1">
      <alignment horizontal="center" vertical="center"/>
    </xf>
    <xf numFmtId="0" fontId="8" fillId="0" borderId="3" xfId="0" applyFont="1" applyFill="1" applyBorder="1" applyAlignment="1">
      <alignment horizontal="center" vertical="center"/>
    </xf>
    <xf numFmtId="0" fontId="8" fillId="0" borderId="4" xfId="1" applyFont="1" applyFill="1" applyBorder="1" applyAlignment="1">
      <alignment horizontal="center" vertical="center"/>
    </xf>
    <xf numFmtId="0" fontId="8" fillId="0" borderId="0" xfId="0" applyFont="1" applyFill="1" applyAlignment="1">
      <alignment horizontal="center" vertical="center"/>
    </xf>
    <xf numFmtId="0" fontId="8" fillId="0" borderId="13" xfId="2" applyFont="1" applyFill="1" applyBorder="1" applyAlignment="1">
      <alignment horizontal="center" vertical="center"/>
    </xf>
    <xf numFmtId="0" fontId="0" fillId="0" borderId="0" xfId="0" applyAlignment="1">
      <alignment horizontal="center"/>
    </xf>
    <xf numFmtId="0" fontId="0" fillId="0" borderId="15" xfId="0" applyBorder="1" applyAlignment="1">
      <alignment horizontal="center" vertical="center"/>
    </xf>
    <xf numFmtId="0" fontId="0" fillId="0" borderId="7"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xf numFmtId="0" fontId="0" fillId="0" borderId="0" xfId="0" applyAlignment="1">
      <alignment horizontal="center" vertical="center"/>
    </xf>
    <xf numFmtId="0" fontId="8" fillId="0" borderId="0" xfId="0" applyFont="1" applyBorder="1" applyAlignment="1">
      <alignment horizontal="center" vertical="center" wrapText="1"/>
    </xf>
    <xf numFmtId="0" fontId="8" fillId="0" borderId="14" xfId="0" applyFont="1" applyBorder="1" applyAlignment="1">
      <alignment horizontal="center" vertical="center"/>
    </xf>
    <xf numFmtId="164" fontId="8" fillId="0" borderId="13" xfId="0" applyNumberFormat="1" applyFont="1" applyBorder="1" applyAlignment="1">
      <alignment horizontal="center" vertical="center"/>
    </xf>
    <xf numFmtId="164" fontId="8" fillId="0" borderId="0" xfId="0" applyNumberFormat="1" applyFont="1" applyBorder="1" applyAlignment="1">
      <alignment horizontal="center" vertical="center"/>
    </xf>
    <xf numFmtId="164" fontId="8" fillId="0" borderId="14" xfId="0" applyNumberFormat="1" applyFont="1" applyBorder="1" applyAlignment="1">
      <alignment horizontal="center" vertical="center"/>
    </xf>
    <xf numFmtId="164" fontId="8" fillId="0" borderId="4" xfId="0" applyNumberFormat="1" applyFont="1" applyBorder="1" applyAlignment="1">
      <alignment horizontal="center" vertical="center"/>
    </xf>
    <xf numFmtId="0" fontId="8" fillId="0" borderId="8" xfId="0" applyFont="1" applyFill="1" applyBorder="1" applyAlignment="1">
      <alignment horizontal="center" vertical="center" wrapText="1"/>
    </xf>
    <xf numFmtId="0" fontId="8" fillId="0" borderId="10" xfId="0" applyFont="1" applyFill="1" applyBorder="1" applyAlignment="1">
      <alignment horizontal="center" vertical="center" wrapText="1"/>
    </xf>
    <xf numFmtId="0" fontId="8" fillId="0" borderId="3" xfId="0" applyFont="1" applyFill="1" applyBorder="1" applyAlignment="1">
      <alignment horizontal="center" vertical="center" wrapText="1"/>
    </xf>
    <xf numFmtId="0" fontId="1" fillId="2" borderId="9" xfId="0" applyFont="1" applyFill="1" applyBorder="1" applyAlignment="1">
      <alignment horizontal="center" vertical="center"/>
    </xf>
    <xf numFmtId="0" fontId="0" fillId="2" borderId="3" xfId="0" applyFont="1" applyFill="1" applyBorder="1" applyAlignment="1">
      <alignment horizontal="center" wrapText="1"/>
    </xf>
    <xf numFmtId="0" fontId="0" fillId="2" borderId="4" xfId="0" applyFont="1" applyFill="1" applyBorder="1" applyAlignment="1">
      <alignment horizontal="center" wrapText="1"/>
    </xf>
    <xf numFmtId="0" fontId="0" fillId="2" borderId="5" xfId="0" applyFont="1" applyFill="1" applyBorder="1" applyAlignment="1">
      <alignment horizontal="center" wrapText="1"/>
    </xf>
    <xf numFmtId="0" fontId="0" fillId="0" borderId="11" xfId="0" applyBorder="1" applyAlignment="1">
      <alignment horizontal="center" vertical="center"/>
    </xf>
    <xf numFmtId="0" fontId="0" fillId="0" borderId="10" xfId="0" applyBorder="1" applyAlignment="1">
      <alignment horizontal="center" vertical="center"/>
    </xf>
    <xf numFmtId="0" fontId="0" fillId="0" borderId="8" xfId="0" applyBorder="1" applyAlignment="1">
      <alignment horizontal="center" vertical="center"/>
    </xf>
    <xf numFmtId="0" fontId="0" fillId="0" borderId="3" xfId="0" applyBorder="1" applyAlignment="1">
      <alignment horizontal="center" vertical="center"/>
    </xf>
    <xf numFmtId="0" fontId="8" fillId="0" borderId="3" xfId="1" applyFont="1" applyFill="1" applyBorder="1" applyAlignment="1">
      <alignment horizontal="center" vertical="center" wrapText="1"/>
    </xf>
    <xf numFmtId="0" fontId="1" fillId="2" borderId="9" xfId="0" applyFont="1" applyFill="1" applyBorder="1" applyAlignment="1">
      <alignment horizontal="center" vertical="center"/>
    </xf>
    <xf numFmtId="0" fontId="8" fillId="0" borderId="0" xfId="0" applyFont="1" applyBorder="1" applyAlignment="1">
      <alignment horizontal="center" vertical="center"/>
    </xf>
    <xf numFmtId="0" fontId="0" fillId="0" borderId="7" xfId="0" applyBorder="1" applyAlignment="1">
      <alignment wrapText="1"/>
    </xf>
    <xf numFmtId="0" fontId="1" fillId="2" borderId="0" xfId="0" applyFont="1" applyFill="1" applyBorder="1" applyAlignment="1">
      <alignment horizontal="center" vertical="center" wrapText="1"/>
    </xf>
    <xf numFmtId="0" fontId="0" fillId="0" borderId="2" xfId="0" applyBorder="1" applyAlignment="1">
      <alignment vertical="top" wrapText="1"/>
    </xf>
    <xf numFmtId="0" fontId="1" fillId="2" borderId="7" xfId="0" applyFont="1" applyFill="1" applyBorder="1" applyAlignment="1">
      <alignment horizontal="center" vertical="center" wrapText="1"/>
    </xf>
    <xf numFmtId="0" fontId="13" fillId="0" borderId="0" xfId="0" applyFont="1" applyAlignment="1">
      <alignment vertical="center"/>
    </xf>
    <xf numFmtId="0" fontId="14" fillId="0" borderId="0" xfId="0" applyFont="1" applyAlignment="1">
      <alignment vertical="center"/>
    </xf>
    <xf numFmtId="2" fontId="6" fillId="5" borderId="14" xfId="1" applyNumberFormat="1" applyBorder="1" applyAlignment="1">
      <alignment horizontal="center" vertical="center"/>
    </xf>
    <xf numFmtId="2" fontId="6" fillId="5" borderId="4" xfId="1" applyNumberFormat="1" applyBorder="1" applyAlignment="1">
      <alignment horizontal="center" vertical="center"/>
    </xf>
    <xf numFmtId="2" fontId="6" fillId="5" borderId="13" xfId="1" applyNumberFormat="1" applyBorder="1" applyAlignment="1">
      <alignment horizontal="center" vertical="center"/>
    </xf>
    <xf numFmtId="2" fontId="6" fillId="5" borderId="0" xfId="1" applyNumberFormat="1" applyBorder="1" applyAlignment="1">
      <alignment horizontal="center" vertical="center"/>
    </xf>
    <xf numFmtId="0" fontId="13" fillId="0" borderId="0" xfId="0" applyFont="1"/>
    <xf numFmtId="0" fontId="1" fillId="0" borderId="0" xfId="0" applyFont="1"/>
    <xf numFmtId="0" fontId="6" fillId="5" borderId="0" xfId="1" applyAlignment="1">
      <alignment horizontal="left"/>
    </xf>
    <xf numFmtId="0" fontId="6" fillId="5" borderId="4" xfId="1" applyBorder="1" applyAlignment="1">
      <alignment horizontal="center" vertical="center" wrapText="1"/>
    </xf>
    <xf numFmtId="2" fontId="6" fillId="5" borderId="14" xfId="1" applyNumberFormat="1" applyBorder="1" applyAlignment="1">
      <alignment horizontal="center" vertical="center" wrapText="1"/>
    </xf>
    <xf numFmtId="0" fontId="6" fillId="5" borderId="11" xfId="1" applyBorder="1" applyAlignment="1">
      <alignment horizontal="center" vertical="center"/>
    </xf>
    <xf numFmtId="0" fontId="1" fillId="2" borderId="5" xfId="0" applyFont="1" applyFill="1" applyBorder="1" applyAlignment="1">
      <alignment horizontal="center" vertical="center"/>
    </xf>
    <xf numFmtId="0" fontId="6" fillId="5" borderId="4" xfId="1" applyBorder="1" applyAlignment="1">
      <alignment horizontal="center" vertical="center"/>
    </xf>
    <xf numFmtId="0" fontId="6" fillId="5" borderId="5" xfId="1" applyBorder="1" applyAlignment="1">
      <alignment horizontal="center" vertical="center"/>
    </xf>
    <xf numFmtId="0" fontId="6" fillId="5" borderId="3" xfId="1" applyBorder="1" applyAlignment="1">
      <alignment horizontal="center" vertical="center" wrapText="1"/>
    </xf>
    <xf numFmtId="0" fontId="6" fillId="5" borderId="3" xfId="1" applyBorder="1" applyAlignment="1">
      <alignment horizontal="center" vertical="center"/>
    </xf>
    <xf numFmtId="0" fontId="6" fillId="5" borderId="1" xfId="1" applyBorder="1" applyAlignment="1">
      <alignment wrapText="1"/>
    </xf>
    <xf numFmtId="0" fontId="6" fillId="5" borderId="1" xfId="1" applyBorder="1" applyAlignment="1">
      <alignment horizontal="center" vertical="center"/>
    </xf>
    <xf numFmtId="0" fontId="6" fillId="5" borderId="0" xfId="1" applyBorder="1" applyAlignment="1">
      <alignment horizontal="center" vertical="center"/>
    </xf>
    <xf numFmtId="0" fontId="6" fillId="5" borderId="9" xfId="1" applyBorder="1" applyAlignment="1">
      <alignment horizontal="center" vertical="center"/>
    </xf>
    <xf numFmtId="0" fontId="0" fillId="7" borderId="2" xfId="0" applyFill="1" applyBorder="1" applyAlignment="1">
      <alignment horizontal="center" wrapText="1"/>
    </xf>
    <xf numFmtId="0" fontId="2" fillId="0" borderId="0" xfId="0" applyFont="1" applyFill="1" applyAlignment="1">
      <alignment horizontal="left"/>
    </xf>
    <xf numFmtId="2" fontId="0" fillId="0" borderId="0" xfId="0" applyNumberFormat="1"/>
    <xf numFmtId="0" fontId="0" fillId="0" borderId="16" xfId="0" applyBorder="1" applyAlignment="1">
      <alignment horizontal="center" vertical="center" wrapText="1"/>
    </xf>
    <xf numFmtId="0" fontId="0" fillId="0" borderId="17" xfId="0" applyBorder="1" applyAlignment="1">
      <alignment horizontal="center"/>
    </xf>
    <xf numFmtId="0" fontId="0" fillId="0" borderId="0" xfId="0" applyBorder="1" applyAlignment="1">
      <alignment horizontal="left"/>
    </xf>
    <xf numFmtId="0" fontId="0" fillId="0" borderId="18" xfId="0" applyBorder="1" applyAlignment="1">
      <alignment horizontal="center"/>
    </xf>
    <xf numFmtId="0" fontId="16" fillId="0" borderId="0" xfId="0" applyFont="1" applyBorder="1" applyAlignment="1">
      <alignment horizontal="center" vertical="center" wrapText="1"/>
    </xf>
    <xf numFmtId="0" fontId="16" fillId="0" borderId="19" xfId="0" applyFont="1" applyBorder="1" applyAlignment="1">
      <alignment horizontal="center" vertical="center" wrapText="1"/>
    </xf>
    <xf numFmtId="0" fontId="0" fillId="0" borderId="20" xfId="0" applyBorder="1" applyAlignment="1">
      <alignment horizontal="center"/>
    </xf>
    <xf numFmtId="0" fontId="0" fillId="0" borderId="21" xfId="0" applyBorder="1" applyAlignment="1">
      <alignment horizontal="center" vertical="center" wrapText="1"/>
    </xf>
    <xf numFmtId="0" fontId="0" fillId="0" borderId="7" xfId="0" applyBorder="1" applyAlignment="1">
      <alignment horizontal="center" vertical="center" wrapText="1"/>
    </xf>
    <xf numFmtId="0" fontId="16" fillId="0" borderId="7" xfId="0" applyFont="1" applyBorder="1" applyAlignment="1">
      <alignment horizontal="center" vertical="center" wrapText="1"/>
    </xf>
    <xf numFmtId="0" fontId="16" fillId="0" borderId="22" xfId="0" applyFont="1" applyBorder="1" applyAlignment="1">
      <alignment horizontal="center" vertical="center" wrapText="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0" fillId="0" borderId="11" xfId="0" applyBorder="1" applyAlignment="1">
      <alignment horizontal="center" vertical="center" wrapText="1"/>
    </xf>
    <xf numFmtId="0" fontId="16" fillId="0" borderId="11"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5" xfId="0" applyFont="1" applyBorder="1" applyAlignment="1">
      <alignment horizontal="center" vertical="center" wrapText="1"/>
    </xf>
    <xf numFmtId="0" fontId="16" fillId="0" borderId="26" xfId="0" applyFont="1" applyBorder="1" applyAlignment="1">
      <alignment horizontal="center" vertical="center" wrapText="1"/>
    </xf>
    <xf numFmtId="0" fontId="0" fillId="0" borderId="27" xfId="0" applyBorder="1" applyAlignment="1">
      <alignment horizontal="center" wrapText="1"/>
    </xf>
    <xf numFmtId="0" fontId="0" fillId="0" borderId="28" xfId="0" applyBorder="1" applyAlignment="1">
      <alignment horizontal="center" wrapText="1"/>
    </xf>
    <xf numFmtId="0" fontId="0" fillId="0" borderId="29" xfId="0" applyBorder="1" applyAlignment="1">
      <alignment horizontal="center" wrapText="1"/>
    </xf>
    <xf numFmtId="0" fontId="0" fillId="0" borderId="30" xfId="0" applyBorder="1" applyAlignment="1">
      <alignment horizontal="left"/>
    </xf>
    <xf numFmtId="0" fontId="0" fillId="0" borderId="31" xfId="0" applyBorder="1" applyAlignment="1">
      <alignment horizontal="center" wrapText="1"/>
    </xf>
    <xf numFmtId="0" fontId="0" fillId="0" borderId="32" xfId="0" applyBorder="1" applyAlignment="1">
      <alignment horizontal="center" vertical="center" wrapText="1"/>
    </xf>
    <xf numFmtId="0" fontId="15" fillId="0" borderId="32" xfId="0" applyFont="1" applyBorder="1" applyAlignment="1">
      <alignment horizontal="center" vertical="center" wrapText="1"/>
    </xf>
    <xf numFmtId="0" fontId="0" fillId="0" borderId="32" xfId="0" applyBorder="1" applyAlignment="1">
      <alignment horizontal="center" wrapText="1"/>
    </xf>
    <xf numFmtId="0" fontId="0" fillId="0" borderId="32" xfId="0" applyBorder="1"/>
    <xf numFmtId="0" fontId="0" fillId="0" borderId="33" xfId="0" applyBorder="1"/>
    <xf numFmtId="0" fontId="0" fillId="0" borderId="34" xfId="0" applyBorder="1" applyAlignment="1">
      <alignment horizontal="left"/>
    </xf>
    <xf numFmtId="0" fontId="0" fillId="0" borderId="0" xfId="0" applyBorder="1"/>
    <xf numFmtId="0" fontId="0" fillId="0" borderId="35" xfId="0" applyBorder="1"/>
    <xf numFmtId="0" fontId="0" fillId="0" borderId="35" xfId="0" applyBorder="1" applyAlignment="1">
      <alignment horizontal="left"/>
    </xf>
    <xf numFmtId="0" fontId="0" fillId="0" borderId="36" xfId="0" applyBorder="1" applyAlignment="1">
      <alignment horizontal="left"/>
    </xf>
    <xf numFmtId="0" fontId="0" fillId="0" borderId="37" xfId="0" applyBorder="1" applyAlignment="1">
      <alignment horizontal="left"/>
    </xf>
    <xf numFmtId="0" fontId="0" fillId="0" borderId="38" xfId="0" applyBorder="1" applyAlignment="1">
      <alignment horizontal="left"/>
    </xf>
    <xf numFmtId="0" fontId="17" fillId="0" borderId="0" xfId="0" applyFont="1" applyAlignment="1">
      <alignment horizontal="left"/>
    </xf>
    <xf numFmtId="0" fontId="8" fillId="0" borderId="4" xfId="0" applyFont="1" applyFill="1" applyBorder="1" applyAlignment="1">
      <alignment horizontal="center" vertical="center"/>
    </xf>
    <xf numFmtId="0" fontId="8" fillId="0" borderId="14"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7" xfId="0" applyFont="1" applyFill="1" applyBorder="1" applyAlignment="1">
      <alignment horizontal="center" vertical="center"/>
    </xf>
    <xf numFmtId="0" fontId="3" fillId="2" borderId="1" xfId="0" applyFont="1" applyFill="1" applyBorder="1" applyAlignment="1">
      <alignment horizontal="center" vertical="center"/>
    </xf>
    <xf numFmtId="0" fontId="0" fillId="0" borderId="10" xfId="0" applyBorder="1" applyAlignment="1">
      <alignment horizontal="center" vertical="center" wrapText="1"/>
    </xf>
    <xf numFmtId="0" fontId="0" fillId="0" borderId="8" xfId="0" applyBorder="1" applyAlignment="1">
      <alignment horizontal="center" vertical="center" wrapText="1"/>
    </xf>
    <xf numFmtId="0" fontId="0" fillId="0" borderId="3" xfId="0" applyBorder="1" applyAlignment="1">
      <alignment horizontal="center" vertical="center" wrapText="1"/>
    </xf>
    <xf numFmtId="2" fontId="8" fillId="0" borderId="0" xfId="0" applyNumberFormat="1" applyFont="1"/>
    <xf numFmtId="0" fontId="15" fillId="0" borderId="0" xfId="0" applyFont="1"/>
    <xf numFmtId="0" fontId="0" fillId="0" borderId="12" xfId="0" applyBorder="1" applyAlignment="1">
      <alignment horizontal="left"/>
    </xf>
    <xf numFmtId="0" fontId="0" fillId="0" borderId="11" xfId="0" applyBorder="1"/>
    <xf numFmtId="0" fontId="0" fillId="0" borderId="9" xfId="0" applyBorder="1" applyAlignment="1">
      <alignment horizontal="left"/>
    </xf>
    <xf numFmtId="0" fontId="0" fillId="0" borderId="10" xfId="0" applyBorder="1"/>
    <xf numFmtId="0" fontId="0" fillId="0" borderId="6" xfId="0" applyBorder="1" applyAlignment="1">
      <alignment horizontal="left"/>
    </xf>
    <xf numFmtId="0" fontId="1" fillId="0" borderId="8" xfId="0" applyFont="1" applyBorder="1"/>
    <xf numFmtId="0" fontId="1" fillId="0" borderId="11" xfId="0" applyFont="1" applyBorder="1"/>
    <xf numFmtId="0" fontId="6" fillId="8" borderId="1" xfId="1" applyFill="1" applyBorder="1" applyAlignment="1">
      <alignment horizontal="left"/>
    </xf>
    <xf numFmtId="0" fontId="0" fillId="8" borderId="1" xfId="0" applyFill="1" applyBorder="1" applyAlignment="1">
      <alignment horizontal="left" wrapText="1"/>
    </xf>
    <xf numFmtId="0" fontId="0" fillId="0" borderId="1" xfId="0" applyFill="1" applyBorder="1" applyAlignment="1">
      <alignment horizontal="left"/>
    </xf>
    <xf numFmtId="0" fontId="0" fillId="0" borderId="1" xfId="0" applyFill="1" applyBorder="1" applyAlignment="1">
      <alignment horizontal="left" wrapText="1"/>
    </xf>
    <xf numFmtId="0" fontId="8" fillId="0" borderId="13" xfId="0" applyFont="1" applyFill="1" applyBorder="1" applyAlignment="1">
      <alignment horizontal="center" vertical="center" wrapText="1"/>
    </xf>
    <xf numFmtId="0" fontId="8" fillId="0" borderId="13" xfId="0" applyFont="1" applyBorder="1" applyAlignment="1">
      <alignment horizontal="center" vertical="center" wrapText="1"/>
    </xf>
    <xf numFmtId="0" fontId="8" fillId="0" borderId="4" xfId="0" applyFont="1" applyFill="1" applyBorder="1" applyAlignment="1">
      <alignment horizontal="center" vertical="center" wrapText="1"/>
    </xf>
    <xf numFmtId="0" fontId="0" fillId="7" borderId="0" xfId="0" applyFill="1" applyAlignment="1">
      <alignment horizontal="left"/>
    </xf>
    <xf numFmtId="0" fontId="1" fillId="7" borderId="0" xfId="0" applyFont="1" applyFill="1" applyAlignment="1">
      <alignment horizontal="center" vertical="center"/>
    </xf>
    <xf numFmtId="0" fontId="1" fillId="2" borderId="7"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8" xfId="0" applyFont="1" applyFill="1" applyBorder="1" applyAlignment="1">
      <alignment horizontal="center" vertical="center"/>
    </xf>
    <xf numFmtId="0" fontId="1" fillId="2" borderId="12"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6"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0" xfId="0" applyFont="1" applyFill="1" applyBorder="1" applyAlignment="1">
      <alignment horizontal="center" vertical="center"/>
    </xf>
    <xf numFmtId="0" fontId="1" fillId="3" borderId="9" xfId="0" applyFont="1" applyFill="1" applyBorder="1" applyAlignment="1">
      <alignment horizontal="center" vertical="center"/>
    </xf>
    <xf numFmtId="0" fontId="1" fillId="2" borderId="15" xfId="0" applyFont="1" applyFill="1" applyBorder="1" applyAlignment="1">
      <alignment horizontal="center" vertical="center"/>
    </xf>
    <xf numFmtId="0" fontId="1" fillId="2" borderId="7" xfId="0" applyFont="1" applyFill="1" applyBorder="1" applyAlignment="1">
      <alignment horizontal="center" vertical="center"/>
    </xf>
    <xf numFmtId="0" fontId="1" fillId="2" borderId="2" xfId="0" applyFont="1" applyFill="1" applyBorder="1" applyAlignment="1">
      <alignment horizontal="center" vertical="center"/>
    </xf>
    <xf numFmtId="0" fontId="1" fillId="4" borderId="14" xfId="0" applyFont="1" applyFill="1" applyBorder="1" applyAlignment="1">
      <alignment horizontal="center" vertical="center"/>
    </xf>
    <xf numFmtId="0" fontId="1" fillId="4" borderId="6" xfId="0" applyFont="1" applyFill="1" applyBorder="1" applyAlignment="1">
      <alignment horizontal="center" vertical="center"/>
    </xf>
    <xf numFmtId="0" fontId="1" fillId="2" borderId="14" xfId="0" applyFont="1" applyFill="1" applyBorder="1" applyAlignment="1">
      <alignment horizontal="center" vertical="center"/>
    </xf>
    <xf numFmtId="0" fontId="1" fillId="2" borderId="0" xfId="0" applyFont="1" applyFill="1" applyBorder="1" applyAlignment="1">
      <alignment horizontal="center" vertical="center"/>
    </xf>
    <xf numFmtId="0" fontId="1" fillId="2" borderId="9" xfId="0" applyFont="1" applyFill="1" applyBorder="1" applyAlignment="1">
      <alignment horizontal="center" vertical="center"/>
    </xf>
  </cellXfs>
  <cellStyles count="65">
    <cellStyle name="Bad" xfId="2" builtinId="27"/>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Good" xfId="1" builtinId="26"/>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openxmlformats.org/officeDocument/2006/relationships/calcChain" Target="calcChain.xml"/><Relationship Id="rId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Drop" dropLines="62" dropStyle="combo" dx="16" sel="5" val="0"/>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27940</xdr:colOff>
          <xdr:row>0</xdr:row>
          <xdr:rowOff>38100</xdr:rowOff>
        </xdr:from>
        <xdr:to>
          <xdr:col>1</xdr:col>
          <xdr:colOff>739140</xdr:colOff>
          <xdr:row>0</xdr:row>
          <xdr:rowOff>279400</xdr:rowOff>
        </xdr:to>
        <xdr:sp macro="" textlink="">
          <xdr:nvSpPr>
            <xdr:cNvPr id="1064" name="DropDown40" hidden="1">
              <a:extLst>
                <a:ext uri="{63B3BB69-23CF-44E3-9099-C40C66FF867C}">
                  <a14:compatExt spid="_x0000_s1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160020</xdr:colOff>
          <xdr:row>0</xdr:row>
          <xdr:rowOff>53340</xdr:rowOff>
        </xdr:from>
        <xdr:to>
          <xdr:col>3</xdr:col>
          <xdr:colOff>355600</xdr:colOff>
          <xdr:row>0</xdr:row>
          <xdr:rowOff>365760</xdr:rowOff>
        </xdr:to>
        <xdr:sp macro="" textlink="">
          <xdr:nvSpPr>
            <xdr:cNvPr id="1065" name="Button 41" hidden="1">
              <a:extLst>
                <a:ext uri="{63B3BB69-23CF-44E3-9099-C40C66FF867C}">
                  <a14:compatExt spid="_x0000_s1065"/>
                </a:ext>
              </a:extLst>
            </xdr:cNvPr>
            <xdr:cNvSpPr/>
          </xdr:nvSpPr>
          <xdr:spPr>
            <a:xfrm>
              <a:off x="0" y="0"/>
              <a:ext cx="0" cy="0"/>
            </a:xfrm>
            <a:prstGeom prst="rect">
              <a:avLst/>
            </a:prstGeom>
          </xdr:spPr>
          <xdr:txBody>
            <a:bodyPr vertOverflow="clip" wrap="square" lIns="18288" tIns="0" rIns="0" bIns="0" anchor="ctr" upright="1"/>
            <a:lstStyle/>
            <a:p>
              <a:pPr algn="ctr" rtl="0">
                <a:defRPr sz="1000"/>
              </a:pPr>
              <a:r>
                <a:rPr lang="en-US" sz="1200" b="0" i="0" u="none" strike="noStrike" baseline="0">
                  <a:latin typeface="Calibri"/>
                  <a:ea typeface="Calibri"/>
                  <a:cs typeface="Calibri"/>
                </a:rPr>
                <a:t>Write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B208"/>
  <sheetViews>
    <sheetView tabSelected="1" workbookViewId="0">
      <pane xSplit="2" ySplit="3" topLeftCell="C13" activePane="bottomRight" state="frozen"/>
      <selection pane="topRight" activeCell="C1" sqref="C1"/>
      <selection pane="bottomLeft" activeCell="A3" sqref="A3"/>
      <selection pane="bottomRight" activeCell="J27" sqref="J27"/>
    </sheetView>
  </sheetViews>
  <sheetFormatPr baseColWidth="10" defaultColWidth="8.83203125" defaultRowHeight="14" x14ac:dyDescent="0"/>
  <cols>
    <col min="1" max="1" width="20.83203125" customWidth="1"/>
    <col min="2" max="2" width="9.6640625" style="2" customWidth="1"/>
    <col min="3" max="3" width="7.5" style="25" customWidth="1"/>
    <col min="4" max="4" width="17.5" style="1" customWidth="1"/>
    <col min="5" max="5" width="11.5" style="1" customWidth="1"/>
    <col min="6" max="6" width="14.83203125" style="1" bestFit="1" customWidth="1"/>
    <col min="7" max="7" width="9.6640625" style="1" customWidth="1"/>
    <col min="8" max="8" width="14" style="1" customWidth="1"/>
    <col min="9" max="9" width="5.83203125" style="1" customWidth="1"/>
    <col min="10" max="10" width="7" style="1" customWidth="1"/>
    <col min="11" max="11" width="8.1640625" style="1" customWidth="1"/>
    <col min="12" max="12" width="14.1640625" style="1" customWidth="1"/>
    <col min="13" max="13" width="13.33203125" style="1" customWidth="1"/>
    <col min="14" max="14" width="9" style="1" customWidth="1"/>
    <col min="15" max="15" width="10.1640625" style="1" customWidth="1"/>
    <col min="16" max="16" width="8.33203125" style="1" customWidth="1"/>
    <col min="17" max="17" width="8.5" style="1" customWidth="1"/>
    <col min="18" max="20" width="6.83203125" style="1" customWidth="1"/>
    <col min="21" max="21" width="9.5" style="1" customWidth="1"/>
    <col min="22" max="22" width="6.33203125" customWidth="1"/>
    <col min="23" max="25" width="11" customWidth="1"/>
    <col min="26" max="27" width="55.33203125" style="6" customWidth="1"/>
    <col min="28" max="28" width="14.5" style="64" customWidth="1"/>
  </cols>
  <sheetData>
    <row r="1" spans="1:28" ht="37" customHeight="1">
      <c r="A1" s="179" t="s">
        <v>153</v>
      </c>
      <c r="B1" s="178"/>
      <c r="C1" s="24"/>
    </row>
    <row r="2" spans="1:28">
      <c r="A2" s="182" t="s">
        <v>0</v>
      </c>
      <c r="B2" s="183"/>
      <c r="C2" s="186" t="s">
        <v>2</v>
      </c>
      <c r="D2" s="187"/>
      <c r="E2" s="187"/>
      <c r="F2" s="187"/>
      <c r="G2" s="188"/>
      <c r="H2" s="35"/>
      <c r="I2" s="35"/>
      <c r="J2" s="192" t="s">
        <v>3</v>
      </c>
      <c r="K2" s="192"/>
      <c r="L2" s="192"/>
      <c r="M2" s="192"/>
      <c r="N2" s="192"/>
      <c r="O2" s="193"/>
      <c r="P2" s="184" t="s">
        <v>8</v>
      </c>
      <c r="Q2" s="194"/>
      <c r="R2" s="194"/>
      <c r="S2" s="194"/>
      <c r="T2" s="194"/>
      <c r="U2" s="194"/>
      <c r="V2" s="194"/>
      <c r="W2" s="195" t="s">
        <v>20</v>
      </c>
      <c r="X2" s="195"/>
      <c r="Y2" s="196"/>
      <c r="Z2" s="180" t="s">
        <v>12</v>
      </c>
      <c r="AA2" s="91"/>
      <c r="AB2" s="93"/>
    </row>
    <row r="3" spans="1:28" s="6" customFormat="1" ht="29.25" customHeight="1">
      <c r="A3" s="184"/>
      <c r="B3" s="185"/>
      <c r="C3" s="3" t="s">
        <v>28</v>
      </c>
      <c r="D3" s="3" t="s">
        <v>129</v>
      </c>
      <c r="E3" s="3" t="s">
        <v>6</v>
      </c>
      <c r="F3" s="3" t="s">
        <v>53</v>
      </c>
      <c r="G3" s="3" t="s">
        <v>10</v>
      </c>
      <c r="H3" s="3" t="s">
        <v>44</v>
      </c>
      <c r="I3" s="3" t="s">
        <v>46</v>
      </c>
      <c r="J3" s="4" t="s">
        <v>55</v>
      </c>
      <c r="K3" s="4" t="s">
        <v>1</v>
      </c>
      <c r="L3" s="4" t="s">
        <v>95</v>
      </c>
      <c r="M3" s="4" t="s">
        <v>96</v>
      </c>
      <c r="N3" s="4" t="s">
        <v>4</v>
      </c>
      <c r="O3" s="4" t="s">
        <v>7</v>
      </c>
      <c r="P3" s="5" t="s">
        <v>13</v>
      </c>
      <c r="Q3" s="5" t="s">
        <v>14</v>
      </c>
      <c r="R3" s="5" t="s">
        <v>15</v>
      </c>
      <c r="S3" s="5" t="s">
        <v>141</v>
      </c>
      <c r="T3" s="5" t="s">
        <v>139</v>
      </c>
      <c r="U3" s="80" t="s">
        <v>142</v>
      </c>
      <c r="V3" s="80" t="s">
        <v>9</v>
      </c>
      <c r="W3" s="80" t="s">
        <v>74</v>
      </c>
      <c r="X3" s="81" t="s">
        <v>75</v>
      </c>
      <c r="Y3" s="82" t="s">
        <v>76</v>
      </c>
      <c r="Z3" s="181"/>
      <c r="AA3" s="91" t="s">
        <v>87</v>
      </c>
      <c r="AB3" s="115" t="s">
        <v>59</v>
      </c>
    </row>
    <row r="4" spans="1:28" s="10" customFormat="1" ht="70">
      <c r="A4" s="189" t="s">
        <v>16</v>
      </c>
      <c r="B4" s="8">
        <v>1.1000000000000001</v>
      </c>
      <c r="C4" s="131" t="s">
        <v>29</v>
      </c>
      <c r="D4" s="13" t="s">
        <v>80</v>
      </c>
      <c r="E4" s="11">
        <v>0.14000000000000001</v>
      </c>
      <c r="F4" s="11" t="s">
        <v>21</v>
      </c>
      <c r="G4" s="12">
        <v>0</v>
      </c>
      <c r="H4" s="36" t="s">
        <v>48</v>
      </c>
      <c r="I4" s="37"/>
      <c r="J4" s="52" t="s">
        <v>56</v>
      </c>
      <c r="K4" s="37" t="s">
        <v>67</v>
      </c>
      <c r="L4" s="175" t="s">
        <v>147</v>
      </c>
      <c r="M4" s="175" t="s">
        <v>148</v>
      </c>
      <c r="N4" s="37">
        <v>0</v>
      </c>
      <c r="O4" s="40">
        <v>0</v>
      </c>
      <c r="P4" s="41">
        <v>600</v>
      </c>
      <c r="Q4" s="37">
        <v>11</v>
      </c>
      <c r="R4" s="42">
        <v>6</v>
      </c>
      <c r="S4" s="42">
        <v>1</v>
      </c>
      <c r="T4" s="42">
        <v>3</v>
      </c>
      <c r="U4" s="42">
        <v>1</v>
      </c>
      <c r="V4" s="69">
        <f t="shared" ref="V4:V16" si="0">Q4*R4*S4*T4*U4</f>
        <v>198</v>
      </c>
      <c r="W4" s="85">
        <v>1.5</v>
      </c>
      <c r="X4" s="15"/>
      <c r="Y4" s="16"/>
      <c r="Z4" s="17"/>
      <c r="AA4" s="17"/>
      <c r="AB4" s="65" t="s">
        <v>60</v>
      </c>
    </row>
    <row r="5" spans="1:28" s="10" customFormat="1" ht="48" customHeight="1">
      <c r="A5" s="190"/>
      <c r="B5" s="79">
        <v>1.2</v>
      </c>
      <c r="C5" s="131" t="s">
        <v>29</v>
      </c>
      <c r="D5" s="13" t="s">
        <v>80</v>
      </c>
      <c r="E5" s="11"/>
      <c r="F5" s="11"/>
      <c r="G5" s="12"/>
      <c r="H5" s="36"/>
      <c r="I5" s="37"/>
      <c r="J5" s="41"/>
      <c r="K5" s="37"/>
      <c r="L5" s="37"/>
      <c r="M5" s="37"/>
      <c r="N5" s="37"/>
      <c r="O5" s="40"/>
      <c r="P5" s="41"/>
      <c r="Q5" s="37"/>
      <c r="R5" s="42"/>
      <c r="S5" s="42"/>
      <c r="T5" s="42"/>
      <c r="U5" s="42"/>
      <c r="V5" s="69">
        <f t="shared" si="0"/>
        <v>0</v>
      </c>
      <c r="W5" s="83"/>
      <c r="X5" s="11" t="s">
        <v>77</v>
      </c>
      <c r="Y5" s="12" t="s">
        <v>78</v>
      </c>
      <c r="Z5" s="17" t="s">
        <v>79</v>
      </c>
      <c r="AA5" s="17" t="s">
        <v>88</v>
      </c>
      <c r="AB5" s="66" t="s">
        <v>60</v>
      </c>
    </row>
    <row r="6" spans="1:28" s="10" customFormat="1" ht="70">
      <c r="A6" s="190"/>
      <c r="B6" s="33">
        <v>1.3</v>
      </c>
      <c r="C6" s="131" t="s">
        <v>38</v>
      </c>
      <c r="D6" s="13" t="s">
        <v>80</v>
      </c>
      <c r="E6" s="11">
        <v>0.14000000000000001</v>
      </c>
      <c r="F6" s="11" t="s">
        <v>22</v>
      </c>
      <c r="G6" s="12">
        <v>0</v>
      </c>
      <c r="H6" s="36" t="s">
        <v>52</v>
      </c>
      <c r="I6" s="37"/>
      <c r="J6" s="41" t="s">
        <v>56</v>
      </c>
      <c r="K6" s="37" t="s">
        <v>67</v>
      </c>
      <c r="L6" s="39" t="s">
        <v>147</v>
      </c>
      <c r="M6" s="175" t="s">
        <v>148</v>
      </c>
      <c r="N6" s="37">
        <v>0</v>
      </c>
      <c r="O6" s="40">
        <v>0</v>
      </c>
      <c r="P6" s="41">
        <v>600</v>
      </c>
      <c r="Q6" s="37">
        <v>11</v>
      </c>
      <c r="R6" s="42">
        <v>6</v>
      </c>
      <c r="S6" s="42">
        <v>1</v>
      </c>
      <c r="T6" s="42">
        <v>3</v>
      </c>
      <c r="U6" s="42">
        <v>1</v>
      </c>
      <c r="V6" s="69">
        <f t="shared" si="0"/>
        <v>198</v>
      </c>
      <c r="W6" s="83">
        <v>1.35</v>
      </c>
      <c r="X6" s="11"/>
      <c r="Y6" s="12"/>
      <c r="Z6" s="17" t="s">
        <v>39</v>
      </c>
      <c r="AA6" s="17"/>
      <c r="AB6" s="66" t="s">
        <v>60</v>
      </c>
    </row>
    <row r="7" spans="1:28" ht="42">
      <c r="A7" s="190"/>
      <c r="B7" s="8">
        <v>1.4</v>
      </c>
      <c r="C7" s="131" t="s">
        <v>30</v>
      </c>
      <c r="D7" s="70" t="s">
        <v>81</v>
      </c>
      <c r="E7" s="11">
        <v>0.14000000000000001</v>
      </c>
      <c r="F7" s="11">
        <v>0</v>
      </c>
      <c r="G7" s="14" t="s">
        <v>42</v>
      </c>
      <c r="H7" s="43" t="s">
        <v>45</v>
      </c>
      <c r="I7" s="39" t="s">
        <v>47</v>
      </c>
      <c r="J7" s="38" t="s">
        <v>56</v>
      </c>
      <c r="K7" s="37" t="s">
        <v>67</v>
      </c>
      <c r="L7" s="39" t="s">
        <v>150</v>
      </c>
      <c r="M7" s="39" t="s">
        <v>149</v>
      </c>
      <c r="N7" s="37">
        <v>0</v>
      </c>
      <c r="O7" s="40">
        <v>0</v>
      </c>
      <c r="P7" s="41">
        <v>60</v>
      </c>
      <c r="Q7" s="37">
        <v>3</v>
      </c>
      <c r="R7" s="44">
        <v>2</v>
      </c>
      <c r="S7" s="44">
        <v>1</v>
      </c>
      <c r="T7" s="44">
        <v>3</v>
      </c>
      <c r="U7" s="44">
        <v>1</v>
      </c>
      <c r="V7" s="69">
        <f t="shared" si="0"/>
        <v>18</v>
      </c>
      <c r="W7" s="83">
        <v>1.35</v>
      </c>
      <c r="X7" s="11"/>
      <c r="Y7" s="12"/>
      <c r="Z7" s="17" t="s">
        <v>43</v>
      </c>
      <c r="AA7" s="17" t="s">
        <v>90</v>
      </c>
      <c r="AB7" s="66" t="s">
        <v>60</v>
      </c>
    </row>
    <row r="8" spans="1:28" ht="70">
      <c r="A8" s="190"/>
      <c r="B8" s="8">
        <v>1.5</v>
      </c>
      <c r="C8" s="131" t="s">
        <v>23</v>
      </c>
      <c r="D8" s="13" t="s">
        <v>80</v>
      </c>
      <c r="E8" s="11" t="s">
        <v>24</v>
      </c>
      <c r="F8" s="11">
        <v>0</v>
      </c>
      <c r="G8" s="12">
        <v>0</v>
      </c>
      <c r="H8" s="43" t="s">
        <v>45</v>
      </c>
      <c r="I8" s="37" t="s">
        <v>47</v>
      </c>
      <c r="J8" s="41" t="s">
        <v>56</v>
      </c>
      <c r="K8" s="37" t="s">
        <v>67</v>
      </c>
      <c r="L8" s="175" t="s">
        <v>147</v>
      </c>
      <c r="M8" s="175" t="s">
        <v>148</v>
      </c>
      <c r="N8" s="37">
        <v>0</v>
      </c>
      <c r="O8" s="40">
        <v>0</v>
      </c>
      <c r="P8" s="41">
        <v>60</v>
      </c>
      <c r="Q8" s="37">
        <v>11</v>
      </c>
      <c r="R8" s="44">
        <v>4</v>
      </c>
      <c r="S8" s="44">
        <v>1</v>
      </c>
      <c r="T8" s="44">
        <v>3</v>
      </c>
      <c r="U8" s="44">
        <v>1</v>
      </c>
      <c r="V8" s="69">
        <f t="shared" si="0"/>
        <v>132</v>
      </c>
      <c r="W8" s="83">
        <v>1.35</v>
      </c>
      <c r="X8" s="11"/>
      <c r="Y8" s="12"/>
      <c r="Z8" s="17" t="s">
        <v>54</v>
      </c>
      <c r="AA8" s="17"/>
      <c r="AB8" s="66" t="s">
        <v>60</v>
      </c>
    </row>
    <row r="9" spans="1:28" ht="56">
      <c r="A9" s="191"/>
      <c r="B9" s="19">
        <v>1.6</v>
      </c>
      <c r="C9" s="159" t="s">
        <v>29</v>
      </c>
      <c r="D9" s="26" t="s">
        <v>80</v>
      </c>
      <c r="E9" s="22">
        <v>0.14000000000000001</v>
      </c>
      <c r="F9" s="22" t="s">
        <v>21</v>
      </c>
      <c r="G9" s="23">
        <v>0</v>
      </c>
      <c r="H9" s="36" t="s">
        <v>49</v>
      </c>
      <c r="I9" s="45"/>
      <c r="J9" s="47" t="s">
        <v>57</v>
      </c>
      <c r="K9" s="45" t="s">
        <v>67</v>
      </c>
      <c r="L9" s="45">
        <f>C39</f>
        <v>9.5</v>
      </c>
      <c r="M9" s="45">
        <f>C40</f>
        <v>36.299999999999997</v>
      </c>
      <c r="N9" s="45">
        <v>0</v>
      </c>
      <c r="O9" s="46">
        <v>0</v>
      </c>
      <c r="P9" s="47">
        <v>3600</v>
      </c>
      <c r="Q9" s="45">
        <v>11</v>
      </c>
      <c r="R9" s="48">
        <v>6</v>
      </c>
      <c r="S9" s="48">
        <v>1</v>
      </c>
      <c r="T9" s="48">
        <v>1</v>
      </c>
      <c r="U9" s="48">
        <v>1</v>
      </c>
      <c r="V9" s="22">
        <f t="shared" si="0"/>
        <v>66</v>
      </c>
      <c r="W9" s="84">
        <v>1.35</v>
      </c>
      <c r="X9" s="22"/>
      <c r="Y9" s="23"/>
      <c r="Z9" s="18" t="s">
        <v>40</v>
      </c>
      <c r="AA9" s="17" t="s">
        <v>89</v>
      </c>
      <c r="AB9" s="66" t="s">
        <v>60</v>
      </c>
    </row>
    <row r="10" spans="1:28" ht="70">
      <c r="A10" s="189" t="s">
        <v>17</v>
      </c>
      <c r="B10" s="9">
        <v>2.1</v>
      </c>
      <c r="C10" s="160" t="s">
        <v>29</v>
      </c>
      <c r="D10" s="34" t="s">
        <v>80</v>
      </c>
      <c r="E10" s="15">
        <v>0.14000000000000001</v>
      </c>
      <c r="F10" s="15" t="s">
        <v>21</v>
      </c>
      <c r="G10" s="16">
        <v>0</v>
      </c>
      <c r="H10" s="49" t="s">
        <v>58</v>
      </c>
      <c r="I10" s="37"/>
      <c r="J10" s="41" t="s">
        <v>56</v>
      </c>
      <c r="K10" s="50" t="s">
        <v>67</v>
      </c>
      <c r="L10" s="176" t="s">
        <v>147</v>
      </c>
      <c r="M10" s="175" t="s">
        <v>148</v>
      </c>
      <c r="N10" s="50">
        <v>0</v>
      </c>
      <c r="O10" s="51">
        <v>0</v>
      </c>
      <c r="P10" s="52">
        <v>600</v>
      </c>
      <c r="Q10" s="50">
        <v>11</v>
      </c>
      <c r="R10" s="53">
        <v>12</v>
      </c>
      <c r="S10" s="53">
        <v>1</v>
      </c>
      <c r="T10" s="53">
        <v>3</v>
      </c>
      <c r="U10" s="53">
        <v>1</v>
      </c>
      <c r="V10" s="63">
        <f t="shared" si="0"/>
        <v>396</v>
      </c>
      <c r="W10" s="85">
        <v>1.35</v>
      </c>
      <c r="X10" s="15"/>
      <c r="Y10" s="16"/>
      <c r="Z10" s="27" t="s">
        <v>37</v>
      </c>
      <c r="AA10" s="27"/>
      <c r="AB10" s="65" t="s">
        <v>60</v>
      </c>
    </row>
    <row r="11" spans="1:28" ht="56">
      <c r="A11" s="191"/>
      <c r="B11" s="8">
        <v>2.2999999999999998</v>
      </c>
      <c r="C11" s="159" t="s">
        <v>31</v>
      </c>
      <c r="D11" s="71" t="s">
        <v>82</v>
      </c>
      <c r="E11" s="22">
        <v>0.14000000000000001</v>
      </c>
      <c r="F11" s="22">
        <v>0</v>
      </c>
      <c r="G11" s="23">
        <v>0</v>
      </c>
      <c r="H11" s="43" t="s">
        <v>45</v>
      </c>
      <c r="I11" s="45" t="s">
        <v>47</v>
      </c>
      <c r="J11" s="47" t="s">
        <v>56</v>
      </c>
      <c r="K11" s="45" t="s">
        <v>67</v>
      </c>
      <c r="L11" s="155"/>
      <c r="M11" s="155"/>
      <c r="N11" s="45">
        <v>0</v>
      </c>
      <c r="O11" s="46">
        <v>0</v>
      </c>
      <c r="P11" s="47">
        <v>60</v>
      </c>
      <c r="Q11" s="45">
        <v>3</v>
      </c>
      <c r="R11" s="62">
        <v>6</v>
      </c>
      <c r="S11" s="62">
        <v>1</v>
      </c>
      <c r="T11" s="62">
        <v>3</v>
      </c>
      <c r="U11" s="62">
        <v>1</v>
      </c>
      <c r="V11" s="22">
        <f t="shared" si="0"/>
        <v>54</v>
      </c>
      <c r="W11" s="84">
        <v>1.1000000000000001</v>
      </c>
      <c r="X11" s="22"/>
      <c r="Y11" s="23"/>
      <c r="Z11" s="28" t="s">
        <v>36</v>
      </c>
      <c r="AA11" s="92" t="s">
        <v>92</v>
      </c>
      <c r="AB11" s="67" t="s">
        <v>60</v>
      </c>
    </row>
    <row r="12" spans="1:28" ht="48.75" customHeight="1">
      <c r="A12" s="156" t="s">
        <v>125</v>
      </c>
      <c r="B12" s="106">
        <v>3.1</v>
      </c>
      <c r="C12" s="109" t="s">
        <v>126</v>
      </c>
      <c r="D12" s="103" t="s">
        <v>80</v>
      </c>
      <c r="E12" s="107">
        <v>0.14000000000000001</v>
      </c>
      <c r="F12" s="107">
        <v>0</v>
      </c>
      <c r="G12" s="108">
        <v>0</v>
      </c>
      <c r="H12" s="109"/>
      <c r="I12" s="107"/>
      <c r="J12" s="110" t="s">
        <v>56</v>
      </c>
      <c r="K12" s="107" t="s">
        <v>67</v>
      </c>
      <c r="L12" s="107"/>
      <c r="M12" s="107"/>
      <c r="N12" s="107">
        <v>0</v>
      </c>
      <c r="O12" s="108">
        <v>0</v>
      </c>
      <c r="P12" s="110"/>
      <c r="Q12" s="107"/>
      <c r="R12" s="107"/>
      <c r="S12" s="107">
        <v>1</v>
      </c>
      <c r="T12" s="107"/>
      <c r="U12" s="107">
        <v>1</v>
      </c>
      <c r="V12" s="107">
        <f t="shared" si="0"/>
        <v>0</v>
      </c>
      <c r="W12" s="105"/>
      <c r="X12" s="113" t="s">
        <v>77</v>
      </c>
      <c r="Y12" s="114" t="s">
        <v>78</v>
      </c>
      <c r="Z12" s="111" t="s">
        <v>127</v>
      </c>
      <c r="AA12" s="111" t="s">
        <v>91</v>
      </c>
      <c r="AB12" s="112" t="s">
        <v>60</v>
      </c>
    </row>
    <row r="13" spans="1:28" ht="44" customHeight="1">
      <c r="A13" s="157" t="s">
        <v>84</v>
      </c>
      <c r="B13" s="88">
        <v>5.0999999999999996</v>
      </c>
      <c r="C13" s="131" t="s">
        <v>29</v>
      </c>
      <c r="D13" s="89" t="s">
        <v>85</v>
      </c>
      <c r="E13" s="11">
        <v>0.14000000000000001</v>
      </c>
      <c r="F13" s="11" t="s">
        <v>21</v>
      </c>
      <c r="G13" s="12">
        <v>0</v>
      </c>
      <c r="H13" s="43"/>
      <c r="I13" s="37"/>
      <c r="J13" s="41" t="s">
        <v>56</v>
      </c>
      <c r="K13" s="37"/>
      <c r="L13" s="154"/>
      <c r="M13" s="154"/>
      <c r="N13" s="37"/>
      <c r="O13" s="40"/>
      <c r="P13" s="41">
        <v>600</v>
      </c>
      <c r="Q13" s="37">
        <v>3</v>
      </c>
      <c r="R13" s="62">
        <v>6</v>
      </c>
      <c r="S13" s="62">
        <v>1</v>
      </c>
      <c r="T13" s="62">
        <v>3</v>
      </c>
      <c r="U13" s="62"/>
      <c r="V13" s="11">
        <f t="shared" si="0"/>
        <v>0</v>
      </c>
      <c r="W13" s="105">
        <v>1.35</v>
      </c>
      <c r="X13" s="11"/>
      <c r="Y13" s="12"/>
      <c r="Z13" s="90" t="s">
        <v>86</v>
      </c>
      <c r="AA13" s="90"/>
      <c r="AB13" s="66"/>
    </row>
    <row r="14" spans="1:28" ht="28">
      <c r="A14" s="189" t="s">
        <v>18</v>
      </c>
      <c r="B14" s="20">
        <v>6.1</v>
      </c>
      <c r="C14" s="160" t="s">
        <v>32</v>
      </c>
      <c r="D14" s="98">
        <f>D21</f>
        <v>36.299999999999997</v>
      </c>
      <c r="E14" s="15">
        <v>0.11</v>
      </c>
      <c r="F14" s="72" t="str">
        <f>F4</f>
        <v>NTM, Class C</v>
      </c>
      <c r="G14" s="16" t="s">
        <v>26</v>
      </c>
      <c r="H14" s="54" t="s">
        <v>51</v>
      </c>
      <c r="I14" s="50"/>
      <c r="J14" s="76" t="s">
        <v>70</v>
      </c>
      <c r="K14" s="50" t="s">
        <v>67</v>
      </c>
      <c r="L14" s="50">
        <f>C39</f>
        <v>9.5</v>
      </c>
      <c r="M14" s="50">
        <f>C40</f>
        <v>36.299999999999997</v>
      </c>
      <c r="N14" s="50">
        <v>0</v>
      </c>
      <c r="O14" s="51" t="s">
        <v>11</v>
      </c>
      <c r="P14" s="52">
        <v>3600</v>
      </c>
      <c r="Q14" s="50">
        <v>1</v>
      </c>
      <c r="R14" s="53">
        <v>6</v>
      </c>
      <c r="S14" s="53">
        <v>3</v>
      </c>
      <c r="T14" s="53">
        <v>1</v>
      </c>
      <c r="U14" s="53">
        <v>3</v>
      </c>
      <c r="V14" s="15">
        <f t="shared" si="0"/>
        <v>54</v>
      </c>
      <c r="W14" s="85">
        <v>1.35</v>
      </c>
      <c r="X14" s="15"/>
      <c r="Y14" s="16"/>
      <c r="Z14" s="27" t="s">
        <v>41</v>
      </c>
      <c r="AA14" s="17" t="s">
        <v>90</v>
      </c>
      <c r="AB14" s="66" t="s">
        <v>61</v>
      </c>
    </row>
    <row r="15" spans="1:28" ht="28">
      <c r="A15" s="190"/>
      <c r="B15" s="21">
        <v>6.2</v>
      </c>
      <c r="C15" s="131" t="s">
        <v>32</v>
      </c>
      <c r="D15" s="99">
        <f>D21</f>
        <v>36.299999999999997</v>
      </c>
      <c r="E15" s="11">
        <v>0.11</v>
      </c>
      <c r="F15" s="73" t="str">
        <f>F4</f>
        <v>NTM, Class C</v>
      </c>
      <c r="G15" s="14" t="s">
        <v>33</v>
      </c>
      <c r="H15" s="55" t="s">
        <v>51</v>
      </c>
      <c r="I15" s="39"/>
      <c r="J15" s="38" t="s">
        <v>70</v>
      </c>
      <c r="K15" s="37" t="s">
        <v>67</v>
      </c>
      <c r="L15" s="37">
        <f>C39</f>
        <v>9.5</v>
      </c>
      <c r="M15" s="37">
        <f>C40</f>
        <v>36.299999999999997</v>
      </c>
      <c r="N15" s="37">
        <v>0</v>
      </c>
      <c r="O15" s="40" t="s">
        <v>11</v>
      </c>
      <c r="P15" s="41">
        <v>3600</v>
      </c>
      <c r="Q15" s="37">
        <v>1</v>
      </c>
      <c r="R15" s="42">
        <v>6</v>
      </c>
      <c r="S15" s="42">
        <v>18</v>
      </c>
      <c r="T15" s="42">
        <v>1</v>
      </c>
      <c r="U15" s="42">
        <v>3</v>
      </c>
      <c r="V15" s="44">
        <f t="shared" si="0"/>
        <v>324</v>
      </c>
      <c r="W15" s="83">
        <v>1.1000000000000001</v>
      </c>
      <c r="X15" s="11"/>
      <c r="Y15" s="12"/>
      <c r="Z15" s="17" t="s">
        <v>27</v>
      </c>
      <c r="AA15" s="17" t="s">
        <v>90</v>
      </c>
      <c r="AB15" s="66" t="s">
        <v>61</v>
      </c>
    </row>
    <row r="16" spans="1:28" ht="28">
      <c r="A16" s="190"/>
      <c r="B16" s="21">
        <v>6.3</v>
      </c>
      <c r="C16" s="159" t="s">
        <v>32</v>
      </c>
      <c r="D16" s="96">
        <f>D22</f>
        <v>24.7</v>
      </c>
      <c r="E16" s="22">
        <v>0.11</v>
      </c>
      <c r="F16" s="74" t="str">
        <f>F4</f>
        <v>NTM, Class C</v>
      </c>
      <c r="G16" s="23" t="s">
        <v>25</v>
      </c>
      <c r="H16" s="56" t="s">
        <v>50</v>
      </c>
      <c r="I16" s="45"/>
      <c r="J16" s="77" t="s">
        <v>71</v>
      </c>
      <c r="K16" s="45" t="s">
        <v>67</v>
      </c>
      <c r="L16" s="45">
        <f>C37</f>
        <v>24.7</v>
      </c>
      <c r="M16" s="45">
        <f>C38</f>
        <v>5.12</v>
      </c>
      <c r="N16" s="45">
        <v>0</v>
      </c>
      <c r="O16" s="46" t="s">
        <v>11</v>
      </c>
      <c r="P16" s="47">
        <v>3600</v>
      </c>
      <c r="Q16" s="45">
        <v>1</v>
      </c>
      <c r="R16" s="48">
        <v>6</v>
      </c>
      <c r="S16" s="48">
        <v>3</v>
      </c>
      <c r="T16" s="48">
        <v>1</v>
      </c>
      <c r="U16" s="48">
        <v>3</v>
      </c>
      <c r="V16" s="22">
        <f t="shared" si="0"/>
        <v>54</v>
      </c>
      <c r="W16" s="84">
        <v>1.35</v>
      </c>
      <c r="X16" s="22"/>
      <c r="Y16" s="23"/>
      <c r="Z16" s="18" t="s">
        <v>35</v>
      </c>
      <c r="AA16" s="17"/>
      <c r="AB16" s="66" t="s">
        <v>61</v>
      </c>
    </row>
    <row r="17" spans="1:28" ht="105" customHeight="1">
      <c r="A17" s="191"/>
      <c r="B17" s="21">
        <v>6.4</v>
      </c>
      <c r="C17" s="159" t="s">
        <v>72</v>
      </c>
      <c r="D17" s="104" t="s">
        <v>73</v>
      </c>
      <c r="E17" s="22">
        <v>0.14000000000000001</v>
      </c>
      <c r="F17" s="74" t="s">
        <v>21</v>
      </c>
      <c r="G17" s="23">
        <v>0</v>
      </c>
      <c r="H17" s="87" t="s">
        <v>83</v>
      </c>
      <c r="I17" s="45"/>
      <c r="J17" s="77" t="s">
        <v>56</v>
      </c>
      <c r="K17" s="45" t="s">
        <v>67</v>
      </c>
      <c r="L17" s="177" t="s">
        <v>151</v>
      </c>
      <c r="M17" s="177" t="s">
        <v>152</v>
      </c>
      <c r="N17" s="45">
        <v>0</v>
      </c>
      <c r="O17" s="46">
        <v>0</v>
      </c>
      <c r="P17" s="47">
        <v>600</v>
      </c>
      <c r="Q17" s="45">
        <v>16</v>
      </c>
      <c r="R17" s="48">
        <v>6</v>
      </c>
      <c r="S17" s="48">
        <v>1</v>
      </c>
      <c r="T17" s="48">
        <v>3</v>
      </c>
      <c r="U17" s="48">
        <v>1</v>
      </c>
      <c r="V17" s="22">
        <f>Q17*R17*S17*T17*U17</f>
        <v>288</v>
      </c>
      <c r="W17" s="84"/>
      <c r="X17" s="22" t="s">
        <v>77</v>
      </c>
      <c r="Y17" s="23" t="s">
        <v>78</v>
      </c>
      <c r="Z17" s="18" t="s">
        <v>93</v>
      </c>
      <c r="AA17" s="17"/>
      <c r="AB17" s="66" t="s">
        <v>61</v>
      </c>
    </row>
    <row r="18" spans="1:28" ht="28">
      <c r="A18" s="156" t="s">
        <v>19</v>
      </c>
      <c r="B18" s="158">
        <v>7.1</v>
      </c>
      <c r="C18" s="161" t="s">
        <v>32</v>
      </c>
      <c r="D18" s="97">
        <f>D22</f>
        <v>24.7</v>
      </c>
      <c r="E18" s="29">
        <v>0.11</v>
      </c>
      <c r="F18" s="75" t="str">
        <f>F4</f>
        <v>NTM, Class C</v>
      </c>
      <c r="G18" s="30" t="s">
        <v>26</v>
      </c>
      <c r="H18" s="57" t="s">
        <v>50</v>
      </c>
      <c r="I18" s="58"/>
      <c r="J18" s="78" t="s">
        <v>71</v>
      </c>
      <c r="K18" s="58" t="s">
        <v>67</v>
      </c>
      <c r="L18" s="58">
        <f>C37</f>
        <v>24.7</v>
      </c>
      <c r="M18" s="58">
        <f>C38</f>
        <v>5.12</v>
      </c>
      <c r="N18" s="58">
        <v>0</v>
      </c>
      <c r="O18" s="59" t="s">
        <v>11</v>
      </c>
      <c r="P18" s="60">
        <v>3600</v>
      </c>
      <c r="Q18" s="58">
        <v>1</v>
      </c>
      <c r="R18" s="61">
        <v>6</v>
      </c>
      <c r="S18" s="61">
        <v>3</v>
      </c>
      <c r="T18" s="61">
        <v>1</v>
      </c>
      <c r="U18" s="61">
        <v>3</v>
      </c>
      <c r="V18" s="29">
        <f>Q18*R18*S18*T18*U18</f>
        <v>54</v>
      </c>
      <c r="W18" s="86">
        <v>1.1000000000000001</v>
      </c>
      <c r="X18" s="29"/>
      <c r="Y18" s="30"/>
      <c r="Z18" s="31" t="s">
        <v>34</v>
      </c>
      <c r="AA18" s="31" t="s">
        <v>90</v>
      </c>
      <c r="AB18" s="68" t="s">
        <v>61</v>
      </c>
    </row>
    <row r="19" spans="1:28">
      <c r="B19" s="7"/>
      <c r="C19" s="24"/>
      <c r="V19" s="32">
        <f>+SUM(V4:V18)</f>
        <v>1836</v>
      </c>
    </row>
    <row r="20" spans="1:28">
      <c r="B20" s="7"/>
      <c r="C20" s="24"/>
    </row>
    <row r="21" spans="1:28">
      <c r="A21" t="s">
        <v>145</v>
      </c>
      <c r="B21" s="7"/>
      <c r="C21" s="24" t="s">
        <v>63</v>
      </c>
      <c r="D21" s="102">
        <v>36.299999999999997</v>
      </c>
      <c r="E21"/>
    </row>
    <row r="22" spans="1:28">
      <c r="B22" s="7"/>
      <c r="C22" s="24" t="s">
        <v>62</v>
      </c>
      <c r="D22" s="102">
        <v>24.7</v>
      </c>
      <c r="E22"/>
    </row>
    <row r="23" spans="1:28">
      <c r="B23" s="7"/>
      <c r="C23" s="24"/>
    </row>
    <row r="24" spans="1:28">
      <c r="B24" s="7"/>
      <c r="C24" s="24"/>
    </row>
    <row r="25" spans="1:28">
      <c r="B25" s="7"/>
      <c r="C25" s="24"/>
    </row>
    <row r="26" spans="1:28" ht="21" thickBot="1">
      <c r="A26" t="s">
        <v>64</v>
      </c>
      <c r="B26" s="7" t="s">
        <v>65</v>
      </c>
      <c r="C26" s="24">
        <v>10.4</v>
      </c>
      <c r="D26" s="1" t="s">
        <v>66</v>
      </c>
      <c r="J26" s="153" t="s">
        <v>130</v>
      </c>
      <c r="O26"/>
      <c r="P26"/>
      <c r="Q26"/>
      <c r="R26"/>
      <c r="S26"/>
      <c r="T26" s="6"/>
      <c r="U26" s="6"/>
      <c r="V26" s="6"/>
      <c r="W26" s="64"/>
      <c r="Z26"/>
      <c r="AA26"/>
      <c r="AB26"/>
    </row>
    <row r="27" spans="1:28" ht="30" thickTop="1" thickBot="1">
      <c r="B27" s="1" t="s">
        <v>143</v>
      </c>
      <c r="C27">
        <v>98.188999999999993</v>
      </c>
      <c r="D27" s="1" t="s">
        <v>144</v>
      </c>
      <c r="I27" s="139"/>
      <c r="J27" s="140" t="s">
        <v>135</v>
      </c>
      <c r="K27" s="141" t="s">
        <v>95</v>
      </c>
      <c r="L27" s="141" t="s">
        <v>96</v>
      </c>
      <c r="M27" s="141" t="s">
        <v>132</v>
      </c>
      <c r="N27" s="142" t="s">
        <v>133</v>
      </c>
      <c r="O27" s="143" t="s">
        <v>131</v>
      </c>
      <c r="P27" s="144"/>
      <c r="Q27" s="145"/>
      <c r="R27"/>
      <c r="S27"/>
      <c r="T27" s="6"/>
      <c r="U27" s="6"/>
      <c r="V27" s="6"/>
      <c r="W27" s="64"/>
      <c r="Z27"/>
      <c r="AA27"/>
      <c r="AB27"/>
    </row>
    <row r="28" spans="1:28">
      <c r="B28" s="7"/>
      <c r="C28" s="24"/>
      <c r="I28" s="146"/>
      <c r="J28" s="136">
        <v>4</v>
      </c>
      <c r="K28" s="125">
        <v>0.67200000000000004</v>
      </c>
      <c r="L28" s="118">
        <v>7.4950000000000001</v>
      </c>
      <c r="M28" s="129">
        <v>6.0449999999999999</v>
      </c>
      <c r="N28" s="130">
        <v>8.9459999999999997</v>
      </c>
      <c r="O28" s="119">
        <v>58087</v>
      </c>
      <c r="P28" s="147"/>
      <c r="Q28" s="148"/>
      <c r="R28"/>
      <c r="S28"/>
      <c r="T28" s="6"/>
      <c r="U28" s="6"/>
      <c r="V28" s="6"/>
      <c r="W28" s="64"/>
      <c r="Z28"/>
      <c r="AA28"/>
      <c r="AB28"/>
    </row>
    <row r="29" spans="1:28">
      <c r="A29" t="s">
        <v>68</v>
      </c>
      <c r="B29" s="7"/>
      <c r="C29" s="24"/>
      <c r="I29" s="146"/>
      <c r="J29" s="137">
        <v>6</v>
      </c>
      <c r="K29" s="126">
        <v>0.745</v>
      </c>
      <c r="L29" s="13">
        <v>7.1470000000000002</v>
      </c>
      <c r="M29" s="131">
        <v>5.4649999999999999</v>
      </c>
      <c r="N29" s="14">
        <v>8.8290000000000006</v>
      </c>
      <c r="O29" s="121">
        <v>64085</v>
      </c>
      <c r="P29" s="147"/>
      <c r="Q29" s="148"/>
      <c r="R29"/>
      <c r="S29"/>
      <c r="T29" s="6"/>
      <c r="U29" s="6"/>
      <c r="V29" s="6"/>
      <c r="W29" s="64"/>
      <c r="Z29"/>
      <c r="AA29"/>
      <c r="AB29"/>
    </row>
    <row r="30" spans="1:28">
      <c r="A30" s="117">
        <v>1</v>
      </c>
      <c r="B30" s="116"/>
      <c r="C30" s="24"/>
      <c r="I30" s="146"/>
      <c r="J30" s="137">
        <v>8</v>
      </c>
      <c r="K30" s="126">
        <v>0.89900000000000002</v>
      </c>
      <c r="L30" s="13">
        <v>6.4359999999999999</v>
      </c>
      <c r="M30" s="131">
        <v>4.6340000000000003</v>
      </c>
      <c r="N30" s="14">
        <v>8.2379999999999995</v>
      </c>
      <c r="O30" s="121">
        <v>47990</v>
      </c>
      <c r="P30" s="147"/>
      <c r="Q30" s="148"/>
      <c r="R30"/>
      <c r="S30"/>
      <c r="T30" s="6"/>
      <c r="U30" s="6"/>
      <c r="V30" s="6"/>
      <c r="W30" s="64"/>
      <c r="Z30"/>
      <c r="AA30"/>
      <c r="AB30"/>
    </row>
    <row r="31" spans="1:28">
      <c r="B31" s="7"/>
      <c r="C31" s="24"/>
      <c r="I31" s="146"/>
      <c r="J31" s="137">
        <v>10</v>
      </c>
      <c r="K31" s="126">
        <v>1.1160000000000001</v>
      </c>
      <c r="L31" s="13">
        <v>5.94</v>
      </c>
      <c r="M31" s="131">
        <v>4.2370000000000001</v>
      </c>
      <c r="N31" s="14">
        <v>7.6440000000000001</v>
      </c>
      <c r="O31" s="121">
        <v>33561</v>
      </c>
      <c r="P31" s="147"/>
      <c r="Q31" s="148"/>
      <c r="R31"/>
      <c r="S31"/>
      <c r="T31" s="6"/>
      <c r="U31" s="6"/>
      <c r="V31" s="6"/>
      <c r="W31" s="64"/>
      <c r="Z31"/>
      <c r="AA31"/>
      <c r="AB31"/>
    </row>
    <row r="32" spans="1:28">
      <c r="A32" t="s">
        <v>69</v>
      </c>
      <c r="B32" s="7"/>
      <c r="C32" s="24"/>
      <c r="I32" s="146"/>
      <c r="J32" s="137">
        <v>12</v>
      </c>
      <c r="K32" s="126">
        <v>1.3580000000000001</v>
      </c>
      <c r="L32" s="13">
        <v>5.7110000000000003</v>
      </c>
      <c r="M32" s="131">
        <v>4.181</v>
      </c>
      <c r="N32" s="14">
        <v>7.2409999999999997</v>
      </c>
      <c r="O32" s="121">
        <v>26603</v>
      </c>
      <c r="P32" s="147"/>
      <c r="Q32" s="148"/>
      <c r="R32"/>
      <c r="S32"/>
      <c r="T32" s="6"/>
      <c r="U32" s="6"/>
      <c r="V32" s="6"/>
      <c r="W32" s="64"/>
      <c r="Z32"/>
      <c r="AA32"/>
      <c r="AB32"/>
    </row>
    <row r="33" spans="1:28">
      <c r="A33" s="162">
        <v>1</v>
      </c>
      <c r="B33" s="116"/>
      <c r="C33" s="24"/>
      <c r="I33" s="146"/>
      <c r="J33" s="137">
        <v>14</v>
      </c>
      <c r="K33" s="126">
        <v>1.655</v>
      </c>
      <c r="L33" s="13">
        <v>5.7489999999999997</v>
      </c>
      <c r="M33" s="131">
        <v>4.3479999999999999</v>
      </c>
      <c r="N33" s="14">
        <v>7.1509999999999998</v>
      </c>
      <c r="O33" s="121">
        <v>16877</v>
      </c>
      <c r="P33" s="147"/>
      <c r="Q33" s="148"/>
      <c r="R33"/>
      <c r="S33"/>
      <c r="T33" s="6"/>
      <c r="U33" s="6"/>
      <c r="V33" s="6"/>
      <c r="W33" s="64"/>
      <c r="Z33"/>
      <c r="AA33"/>
      <c r="AB33"/>
    </row>
    <row r="34" spans="1:28">
      <c r="B34" s="7"/>
      <c r="C34" s="24"/>
      <c r="I34" s="146"/>
      <c r="J34" s="137">
        <v>16</v>
      </c>
      <c r="K34" s="126">
        <v>1.92</v>
      </c>
      <c r="L34" s="13">
        <v>5.8280000000000003</v>
      </c>
      <c r="M34" s="131">
        <v>4.5449999999999999</v>
      </c>
      <c r="N34" s="14">
        <v>7.11</v>
      </c>
      <c r="O34" s="121">
        <v>10551</v>
      </c>
      <c r="P34" s="147"/>
      <c r="Q34" s="148"/>
      <c r="R34"/>
      <c r="S34"/>
      <c r="T34" s="6"/>
      <c r="U34" s="6"/>
      <c r="V34" s="6"/>
      <c r="W34" s="64"/>
      <c r="Z34"/>
      <c r="AA34"/>
      <c r="AB34"/>
    </row>
    <row r="35" spans="1:28">
      <c r="A35" t="s">
        <v>128</v>
      </c>
      <c r="B35" s="7"/>
      <c r="C35" s="24"/>
      <c r="I35" s="146"/>
      <c r="J35" s="137">
        <v>18</v>
      </c>
      <c r="K35" s="126">
        <v>2.2890000000000001</v>
      </c>
      <c r="L35" s="13">
        <v>6.0910000000000002</v>
      </c>
      <c r="M35" s="131">
        <v>4.8730000000000002</v>
      </c>
      <c r="N35" s="14">
        <v>7.31</v>
      </c>
      <c r="O35" s="121">
        <v>5352</v>
      </c>
      <c r="P35" s="147"/>
      <c r="Q35" s="148"/>
      <c r="R35"/>
      <c r="S35"/>
      <c r="T35" s="6"/>
      <c r="U35" s="6"/>
      <c r="V35" s="6"/>
      <c r="W35" s="64"/>
      <c r="Z35"/>
      <c r="AA35"/>
      <c r="AB35"/>
    </row>
    <row r="36" spans="1:28">
      <c r="B36" s="7"/>
      <c r="C36" s="24"/>
      <c r="I36" s="146"/>
      <c r="J36" s="137">
        <v>20</v>
      </c>
      <c r="K36" s="126">
        <v>2.7610000000000001</v>
      </c>
      <c r="L36" s="13">
        <v>6.4859999999999998</v>
      </c>
      <c r="M36" s="131">
        <v>5.2050000000000001</v>
      </c>
      <c r="N36" s="14">
        <v>7.7679999999999998</v>
      </c>
      <c r="O36" s="121">
        <v>3156</v>
      </c>
      <c r="P36" s="147"/>
      <c r="Q36" s="148"/>
      <c r="R36"/>
      <c r="S36"/>
      <c r="T36" s="6"/>
      <c r="U36" s="6"/>
      <c r="V36" s="6"/>
      <c r="W36" s="64"/>
      <c r="Z36"/>
      <c r="AA36"/>
      <c r="AB36"/>
    </row>
    <row r="37" spans="1:28">
      <c r="A37" s="169" t="s">
        <v>94</v>
      </c>
      <c r="B37" s="173" t="s">
        <v>146</v>
      </c>
      <c r="C37" s="171">
        <v>24.7</v>
      </c>
      <c r="D37" s="164"/>
      <c r="I37" s="146"/>
      <c r="J37" s="137">
        <v>22</v>
      </c>
      <c r="K37" s="126">
        <v>3.266</v>
      </c>
      <c r="L37" s="13">
        <v>6.8689999999999998</v>
      </c>
      <c r="M37" s="131">
        <v>5.4729999999999999</v>
      </c>
      <c r="N37" s="14">
        <v>8.2650000000000006</v>
      </c>
      <c r="O37" s="121">
        <v>1132</v>
      </c>
      <c r="P37" s="147"/>
      <c r="Q37" s="148"/>
      <c r="R37"/>
      <c r="S37"/>
      <c r="T37" s="6"/>
      <c r="U37" s="6"/>
      <c r="V37" s="6"/>
      <c r="W37" s="64"/>
      <c r="Z37"/>
      <c r="AA37"/>
      <c r="AB37"/>
    </row>
    <row r="38" spans="1:28">
      <c r="A38" s="170"/>
      <c r="B38" s="173" t="s">
        <v>95</v>
      </c>
      <c r="C38" s="172">
        <v>5.12</v>
      </c>
      <c r="D38" s="166" t="s">
        <v>138</v>
      </c>
      <c r="I38" s="146"/>
      <c r="J38" s="137">
        <v>24</v>
      </c>
      <c r="K38" s="126">
        <v>4.1769999999999996</v>
      </c>
      <c r="L38" s="13">
        <v>7.7290000000000001</v>
      </c>
      <c r="M38" s="131">
        <v>6.1870000000000003</v>
      </c>
      <c r="N38" s="14">
        <v>9.27</v>
      </c>
      <c r="O38" s="121">
        <v>470</v>
      </c>
      <c r="P38" s="147"/>
      <c r="Q38" s="148"/>
      <c r="R38"/>
      <c r="S38"/>
      <c r="T38" s="6"/>
      <c r="U38" s="6"/>
      <c r="V38" s="6"/>
      <c r="W38" s="64"/>
      <c r="Z38"/>
      <c r="AA38"/>
      <c r="AB38"/>
    </row>
    <row r="39" spans="1:28">
      <c r="A39" s="170"/>
      <c r="B39" s="173" t="s">
        <v>96</v>
      </c>
      <c r="C39" s="172">
        <v>9.5</v>
      </c>
      <c r="D39" s="166" t="s">
        <v>138</v>
      </c>
      <c r="I39" s="146"/>
      <c r="J39" s="137">
        <v>26</v>
      </c>
      <c r="K39" s="126">
        <v>4.6390000000000002</v>
      </c>
      <c r="L39" s="13">
        <v>7.9809999999999999</v>
      </c>
      <c r="M39" s="131">
        <v>6.5229999999999997</v>
      </c>
      <c r="N39" s="14">
        <v>9.4390000000000001</v>
      </c>
      <c r="O39" s="121">
        <v>171</v>
      </c>
      <c r="P39" s="147"/>
      <c r="Q39" s="148"/>
      <c r="R39"/>
      <c r="S39"/>
      <c r="T39" s="6"/>
      <c r="U39" s="6"/>
      <c r="V39" s="6"/>
      <c r="W39" s="64"/>
      <c r="Z39"/>
      <c r="AA39"/>
      <c r="AB39"/>
    </row>
    <row r="40" spans="1:28">
      <c r="A40" s="169" t="s">
        <v>97</v>
      </c>
      <c r="B40" s="173" t="s">
        <v>146</v>
      </c>
      <c r="C40" s="171">
        <v>36.299999999999997</v>
      </c>
      <c r="D40" s="164"/>
      <c r="I40" s="146"/>
      <c r="J40" s="137">
        <v>28</v>
      </c>
      <c r="K40" s="126">
        <v>5.2690000000000001</v>
      </c>
      <c r="L40" s="13">
        <v>8.3889999999999993</v>
      </c>
      <c r="M40" s="131">
        <v>7.1360000000000001</v>
      </c>
      <c r="N40" s="14">
        <v>9.6430000000000007</v>
      </c>
      <c r="O40" s="121">
        <v>60</v>
      </c>
      <c r="P40" s="147"/>
      <c r="Q40" s="148"/>
      <c r="R40"/>
      <c r="S40"/>
      <c r="T40" s="6"/>
      <c r="U40" s="6"/>
      <c r="V40" s="6"/>
      <c r="W40" s="64"/>
      <c r="Z40"/>
      <c r="AA40"/>
      <c r="AB40"/>
    </row>
    <row r="41" spans="1:28">
      <c r="A41" s="165"/>
      <c r="B41" s="173" t="s">
        <v>95</v>
      </c>
      <c r="C41" s="174">
        <v>8.64</v>
      </c>
      <c r="D41" s="166" t="s">
        <v>138</v>
      </c>
      <c r="I41" s="146"/>
      <c r="J41" s="137">
        <v>30</v>
      </c>
      <c r="K41" s="126">
        <v>5.5720000000000001</v>
      </c>
      <c r="L41" s="13">
        <v>8.6170000000000009</v>
      </c>
      <c r="M41" s="131">
        <v>7.9020000000000001</v>
      </c>
      <c r="N41" s="14">
        <v>9.3330000000000002</v>
      </c>
      <c r="O41" s="121">
        <v>36</v>
      </c>
      <c r="P41" s="147"/>
      <c r="Q41" s="148"/>
      <c r="R41"/>
      <c r="S41"/>
      <c r="T41" s="6"/>
      <c r="U41" s="6"/>
      <c r="V41" s="6"/>
      <c r="W41" s="64"/>
      <c r="Z41"/>
      <c r="AA41"/>
      <c r="AB41"/>
    </row>
    <row r="42" spans="1:28">
      <c r="A42" s="167"/>
      <c r="B42" s="173" t="s">
        <v>96</v>
      </c>
      <c r="C42" s="174">
        <v>12</v>
      </c>
      <c r="D42" s="168" t="s">
        <v>138</v>
      </c>
      <c r="I42" s="146"/>
      <c r="J42" s="137">
        <v>32</v>
      </c>
      <c r="K42" s="127">
        <v>5.5720000000000001</v>
      </c>
      <c r="L42" s="122">
        <v>8.6170000000000009</v>
      </c>
      <c r="M42" s="132">
        <v>7.9020000000000001</v>
      </c>
      <c r="N42" s="133">
        <v>9.3330000000000002</v>
      </c>
      <c r="O42" s="121">
        <v>1</v>
      </c>
      <c r="P42" s="147"/>
      <c r="Q42" s="148"/>
      <c r="R42"/>
      <c r="S42"/>
      <c r="T42" s="6"/>
      <c r="U42" s="6"/>
      <c r="V42" s="6"/>
      <c r="W42" s="64"/>
      <c r="Z42"/>
      <c r="AA42"/>
      <c r="AB42"/>
    </row>
    <row r="43" spans="1:28" ht="15" thickBot="1">
      <c r="B43" s="7"/>
      <c r="C43" s="24"/>
      <c r="I43" s="146"/>
      <c r="J43" s="138">
        <v>34</v>
      </c>
      <c r="K43" s="128">
        <v>5.5720000000000001</v>
      </c>
      <c r="L43" s="123">
        <v>8.6170000000000009</v>
      </c>
      <c r="M43" s="134">
        <v>7.9020000000000001</v>
      </c>
      <c r="N43" s="135">
        <v>9.3330000000000002</v>
      </c>
      <c r="O43" s="124">
        <v>2</v>
      </c>
      <c r="P43" s="147"/>
      <c r="Q43" s="148"/>
      <c r="R43"/>
      <c r="S43"/>
      <c r="T43" s="6"/>
      <c r="U43" s="6"/>
      <c r="V43" s="6"/>
      <c r="W43" s="64"/>
      <c r="Z43"/>
      <c r="AA43"/>
      <c r="AB43"/>
    </row>
    <row r="44" spans="1:28">
      <c r="A44" s="163" t="s">
        <v>140</v>
      </c>
      <c r="B44" s="7"/>
      <c r="C44" s="24"/>
      <c r="I44" s="146"/>
      <c r="J44" s="120"/>
      <c r="K44" s="120"/>
      <c r="L44" s="120"/>
      <c r="M44" s="120"/>
      <c r="N44" s="120"/>
      <c r="O44" s="120"/>
      <c r="P44" s="120"/>
      <c r="Q44" s="149"/>
      <c r="R44"/>
      <c r="S44"/>
      <c r="T44"/>
      <c r="U44"/>
      <c r="X44" s="6"/>
      <c r="Y44" s="6"/>
      <c r="Z44" s="64"/>
      <c r="AA44"/>
      <c r="AB44"/>
    </row>
    <row r="45" spans="1:28">
      <c r="B45" s="7"/>
      <c r="C45" s="24"/>
      <c r="I45" s="146"/>
      <c r="J45" s="147" t="s">
        <v>134</v>
      </c>
      <c r="K45" s="120"/>
      <c r="L45" s="120"/>
      <c r="M45" s="120"/>
      <c r="N45" s="120"/>
      <c r="O45" s="120"/>
      <c r="P45" s="120"/>
      <c r="Q45" s="149"/>
      <c r="R45"/>
      <c r="S45"/>
      <c r="T45"/>
      <c r="U45"/>
      <c r="X45" s="6"/>
      <c r="Y45" s="6"/>
      <c r="Z45" s="64"/>
      <c r="AA45"/>
      <c r="AB45"/>
    </row>
    <row r="46" spans="1:28">
      <c r="B46"/>
      <c r="C46"/>
      <c r="I46" s="146"/>
      <c r="J46" s="120" t="s">
        <v>136</v>
      </c>
      <c r="K46" s="120"/>
      <c r="L46" s="120"/>
      <c r="M46" s="120"/>
      <c r="N46" s="120"/>
      <c r="O46" s="120"/>
      <c r="P46" s="120"/>
      <c r="Q46" s="149"/>
      <c r="R46"/>
      <c r="S46"/>
      <c r="T46"/>
      <c r="U46"/>
      <c r="X46" s="6"/>
      <c r="Y46" s="6"/>
      <c r="Z46" s="64"/>
      <c r="AA46"/>
      <c r="AB46"/>
    </row>
    <row r="47" spans="1:28" ht="15" thickBot="1">
      <c r="B47"/>
      <c r="C47"/>
      <c r="I47" s="150"/>
      <c r="J47" s="151" t="s">
        <v>137</v>
      </c>
      <c r="K47" s="151"/>
      <c r="L47" s="151"/>
      <c r="M47" s="151"/>
      <c r="N47" s="151"/>
      <c r="O47" s="151"/>
      <c r="P47" s="151"/>
      <c r="Q47" s="152"/>
      <c r="R47"/>
      <c r="S47"/>
      <c r="T47"/>
      <c r="U47"/>
      <c r="X47" s="6"/>
      <c r="Y47" s="6"/>
      <c r="Z47" s="64"/>
      <c r="AA47"/>
      <c r="AB47"/>
    </row>
    <row r="48" spans="1:28" ht="15" thickTop="1">
      <c r="B48"/>
      <c r="C48"/>
    </row>
    <row r="49" spans="2:3">
      <c r="B49"/>
      <c r="C49"/>
    </row>
    <row r="50" spans="2:3">
      <c r="B50" s="7"/>
      <c r="C50" s="24"/>
    </row>
    <row r="51" spans="2:3">
      <c r="B51" s="7"/>
      <c r="C51" s="24"/>
    </row>
    <row r="52" spans="2:3">
      <c r="B52" s="7"/>
      <c r="C52" s="24"/>
    </row>
    <row r="53" spans="2:3">
      <c r="B53" s="7"/>
      <c r="C53" s="24"/>
    </row>
    <row r="54" spans="2:3">
      <c r="B54" s="7"/>
      <c r="C54" s="24"/>
    </row>
    <row r="55" spans="2:3">
      <c r="B55" s="7"/>
      <c r="C55" s="24"/>
    </row>
    <row r="56" spans="2:3">
      <c r="B56" s="7"/>
      <c r="C56" s="24"/>
    </row>
    <row r="57" spans="2:3">
      <c r="B57" s="7"/>
      <c r="C57" s="24"/>
    </row>
    <row r="58" spans="2:3">
      <c r="B58" s="7"/>
      <c r="C58" s="24"/>
    </row>
    <row r="59" spans="2:3">
      <c r="B59" s="7"/>
      <c r="C59" s="24"/>
    </row>
    <row r="60" spans="2:3">
      <c r="B60" s="7"/>
      <c r="C60" s="24"/>
    </row>
    <row r="61" spans="2:3">
      <c r="B61" s="7"/>
      <c r="C61" s="24"/>
    </row>
    <row r="62" spans="2:3">
      <c r="B62" s="7"/>
      <c r="C62" s="24"/>
    </row>
    <row r="63" spans="2:3">
      <c r="B63" s="7"/>
      <c r="C63" s="24"/>
    </row>
    <row r="64" spans="2:3">
      <c r="B64" s="7"/>
      <c r="C64" s="24"/>
    </row>
    <row r="65" spans="2:3">
      <c r="B65" s="7"/>
      <c r="C65" s="24"/>
    </row>
    <row r="66" spans="2:3">
      <c r="B66" s="7"/>
      <c r="C66" s="24"/>
    </row>
    <row r="67" spans="2:3">
      <c r="B67" s="7"/>
      <c r="C67" s="24"/>
    </row>
    <row r="68" spans="2:3">
      <c r="B68" s="7"/>
      <c r="C68" s="24"/>
    </row>
    <row r="69" spans="2:3">
      <c r="B69" s="7"/>
      <c r="C69" s="24"/>
    </row>
    <row r="70" spans="2:3">
      <c r="B70" s="7"/>
      <c r="C70" s="24"/>
    </row>
    <row r="71" spans="2:3">
      <c r="B71" s="7"/>
      <c r="C71" s="24"/>
    </row>
    <row r="72" spans="2:3">
      <c r="B72" s="7"/>
      <c r="C72" s="24"/>
    </row>
    <row r="73" spans="2:3">
      <c r="B73" s="7"/>
      <c r="C73" s="24"/>
    </row>
    <row r="74" spans="2:3">
      <c r="B74" s="7"/>
      <c r="C74" s="24"/>
    </row>
    <row r="75" spans="2:3">
      <c r="B75" s="7"/>
      <c r="C75" s="24"/>
    </row>
    <row r="76" spans="2:3">
      <c r="B76" s="7"/>
      <c r="C76" s="24"/>
    </row>
    <row r="77" spans="2:3">
      <c r="B77" s="7"/>
      <c r="C77" s="24"/>
    </row>
    <row r="78" spans="2:3">
      <c r="B78" s="7"/>
      <c r="C78" s="24"/>
    </row>
    <row r="79" spans="2:3">
      <c r="B79" s="7"/>
      <c r="C79" s="24"/>
    </row>
    <row r="80" spans="2:3">
      <c r="B80" s="7"/>
      <c r="C80" s="24"/>
    </row>
    <row r="81" spans="2:3">
      <c r="B81" s="7"/>
      <c r="C81" s="24"/>
    </row>
    <row r="82" spans="2:3">
      <c r="B82" s="7"/>
      <c r="C82" s="24"/>
    </row>
    <row r="83" spans="2:3">
      <c r="B83" s="7"/>
      <c r="C83" s="24"/>
    </row>
    <row r="84" spans="2:3">
      <c r="B84" s="7"/>
      <c r="C84" s="24"/>
    </row>
    <row r="85" spans="2:3">
      <c r="B85" s="7"/>
      <c r="C85" s="24"/>
    </row>
    <row r="86" spans="2:3">
      <c r="B86" s="7"/>
      <c r="C86" s="24"/>
    </row>
    <row r="87" spans="2:3">
      <c r="B87" s="7"/>
      <c r="C87" s="24"/>
    </row>
    <row r="88" spans="2:3">
      <c r="B88" s="7"/>
      <c r="C88" s="24"/>
    </row>
    <row r="89" spans="2:3">
      <c r="B89" s="7"/>
      <c r="C89" s="24"/>
    </row>
    <row r="90" spans="2:3">
      <c r="B90" s="7"/>
      <c r="C90" s="24"/>
    </row>
    <row r="91" spans="2:3">
      <c r="B91" s="7"/>
      <c r="C91" s="24"/>
    </row>
    <row r="92" spans="2:3">
      <c r="B92" s="7"/>
      <c r="C92" s="24"/>
    </row>
    <row r="93" spans="2:3">
      <c r="B93" s="7"/>
      <c r="C93" s="24"/>
    </row>
    <row r="94" spans="2:3">
      <c r="B94" s="7"/>
      <c r="C94" s="24"/>
    </row>
    <row r="95" spans="2:3">
      <c r="B95" s="7"/>
      <c r="C95" s="24"/>
    </row>
    <row r="96" spans="2:3">
      <c r="B96" s="7"/>
      <c r="C96" s="24"/>
    </row>
    <row r="97" spans="2:3">
      <c r="B97" s="7"/>
      <c r="C97" s="24"/>
    </row>
    <row r="98" spans="2:3">
      <c r="B98" s="7"/>
      <c r="C98" s="24"/>
    </row>
    <row r="99" spans="2:3">
      <c r="B99" s="7"/>
      <c r="C99" s="24"/>
    </row>
    <row r="100" spans="2:3">
      <c r="B100" s="7"/>
      <c r="C100" s="24"/>
    </row>
    <row r="101" spans="2:3">
      <c r="B101" s="7"/>
      <c r="C101" s="24"/>
    </row>
    <row r="102" spans="2:3">
      <c r="B102" s="7"/>
      <c r="C102" s="24"/>
    </row>
    <row r="103" spans="2:3">
      <c r="B103" s="7"/>
      <c r="C103" s="24"/>
    </row>
    <row r="104" spans="2:3">
      <c r="B104" s="7"/>
      <c r="C104" s="24"/>
    </row>
    <row r="105" spans="2:3">
      <c r="B105" s="7"/>
      <c r="C105" s="24"/>
    </row>
    <row r="106" spans="2:3">
      <c r="B106" s="7"/>
      <c r="C106" s="24"/>
    </row>
    <row r="107" spans="2:3">
      <c r="B107" s="7"/>
      <c r="C107" s="24"/>
    </row>
    <row r="108" spans="2:3">
      <c r="B108" s="7"/>
      <c r="C108" s="24"/>
    </row>
    <row r="109" spans="2:3">
      <c r="B109" s="7"/>
      <c r="C109" s="24"/>
    </row>
    <row r="110" spans="2:3">
      <c r="B110" s="7"/>
      <c r="C110" s="24"/>
    </row>
    <row r="111" spans="2:3">
      <c r="B111" s="7"/>
      <c r="C111" s="24"/>
    </row>
    <row r="112" spans="2:3">
      <c r="B112" s="7"/>
      <c r="C112" s="24"/>
    </row>
    <row r="113" spans="2:3">
      <c r="B113" s="7"/>
      <c r="C113" s="24"/>
    </row>
    <row r="114" spans="2:3">
      <c r="B114" s="7"/>
      <c r="C114" s="24"/>
    </row>
    <row r="115" spans="2:3">
      <c r="B115" s="7"/>
      <c r="C115" s="24"/>
    </row>
    <row r="116" spans="2:3">
      <c r="B116" s="7"/>
      <c r="C116" s="24"/>
    </row>
    <row r="117" spans="2:3">
      <c r="B117" s="7"/>
      <c r="C117" s="24"/>
    </row>
    <row r="118" spans="2:3">
      <c r="B118" s="7"/>
      <c r="C118" s="24"/>
    </row>
    <row r="119" spans="2:3">
      <c r="B119" s="7"/>
      <c r="C119" s="24"/>
    </row>
    <row r="120" spans="2:3">
      <c r="B120" s="7"/>
      <c r="C120" s="24"/>
    </row>
    <row r="121" spans="2:3">
      <c r="B121" s="7"/>
      <c r="C121" s="24"/>
    </row>
    <row r="122" spans="2:3">
      <c r="B122" s="7"/>
      <c r="C122" s="24"/>
    </row>
    <row r="123" spans="2:3">
      <c r="B123" s="7"/>
      <c r="C123" s="24"/>
    </row>
    <row r="124" spans="2:3">
      <c r="B124" s="7"/>
      <c r="C124" s="24"/>
    </row>
    <row r="125" spans="2:3">
      <c r="B125" s="7"/>
      <c r="C125" s="24"/>
    </row>
    <row r="126" spans="2:3">
      <c r="B126" s="7"/>
      <c r="C126" s="24"/>
    </row>
    <row r="127" spans="2:3">
      <c r="B127" s="7"/>
      <c r="C127" s="24"/>
    </row>
    <row r="128" spans="2:3">
      <c r="B128" s="7"/>
      <c r="C128" s="24"/>
    </row>
    <row r="129" spans="2:3">
      <c r="B129" s="7"/>
      <c r="C129" s="24"/>
    </row>
    <row r="130" spans="2:3">
      <c r="B130" s="7"/>
      <c r="C130" s="24"/>
    </row>
    <row r="131" spans="2:3">
      <c r="B131" s="7"/>
      <c r="C131" s="24"/>
    </row>
    <row r="132" spans="2:3">
      <c r="B132" s="7"/>
      <c r="C132" s="24"/>
    </row>
    <row r="133" spans="2:3">
      <c r="B133" s="7"/>
      <c r="C133" s="24"/>
    </row>
    <row r="134" spans="2:3">
      <c r="B134" s="7"/>
      <c r="C134" s="24"/>
    </row>
    <row r="135" spans="2:3">
      <c r="B135" s="7"/>
      <c r="C135" s="24"/>
    </row>
    <row r="136" spans="2:3">
      <c r="B136" s="7"/>
      <c r="C136" s="24"/>
    </row>
    <row r="137" spans="2:3">
      <c r="B137" s="7"/>
      <c r="C137" s="24"/>
    </row>
    <row r="138" spans="2:3">
      <c r="B138" s="7"/>
      <c r="C138" s="24"/>
    </row>
    <row r="139" spans="2:3">
      <c r="B139" s="7"/>
      <c r="C139" s="24"/>
    </row>
    <row r="140" spans="2:3">
      <c r="B140" s="7"/>
      <c r="C140" s="24"/>
    </row>
    <row r="141" spans="2:3">
      <c r="B141" s="7"/>
      <c r="C141" s="24"/>
    </row>
    <row r="142" spans="2:3">
      <c r="B142" s="7"/>
      <c r="C142" s="24"/>
    </row>
    <row r="143" spans="2:3">
      <c r="B143" s="7"/>
      <c r="C143" s="24"/>
    </row>
    <row r="144" spans="2:3">
      <c r="B144" s="7"/>
      <c r="C144" s="24"/>
    </row>
    <row r="145" spans="2:3">
      <c r="B145" s="7"/>
      <c r="C145" s="24"/>
    </row>
    <row r="146" spans="2:3">
      <c r="B146" s="7"/>
      <c r="C146" s="24"/>
    </row>
    <row r="147" spans="2:3">
      <c r="B147" s="7"/>
      <c r="C147" s="24"/>
    </row>
    <row r="148" spans="2:3">
      <c r="B148" s="7"/>
      <c r="C148" s="24"/>
    </row>
    <row r="149" spans="2:3">
      <c r="B149" s="7"/>
      <c r="C149" s="24"/>
    </row>
    <row r="150" spans="2:3">
      <c r="B150" s="7"/>
      <c r="C150" s="24"/>
    </row>
    <row r="151" spans="2:3">
      <c r="B151" s="7"/>
      <c r="C151" s="24"/>
    </row>
    <row r="152" spans="2:3">
      <c r="B152" s="7"/>
      <c r="C152" s="24"/>
    </row>
    <row r="153" spans="2:3">
      <c r="B153" s="7"/>
      <c r="C153" s="24"/>
    </row>
    <row r="154" spans="2:3">
      <c r="B154" s="7"/>
      <c r="C154" s="24"/>
    </row>
    <row r="155" spans="2:3">
      <c r="B155" s="7"/>
      <c r="C155" s="24"/>
    </row>
    <row r="156" spans="2:3">
      <c r="B156" s="7"/>
      <c r="C156" s="24"/>
    </row>
    <row r="157" spans="2:3">
      <c r="B157" s="7"/>
      <c r="C157" s="24"/>
    </row>
    <row r="158" spans="2:3">
      <c r="B158" s="7"/>
      <c r="C158" s="24"/>
    </row>
    <row r="159" spans="2:3">
      <c r="B159" s="7"/>
      <c r="C159" s="24"/>
    </row>
    <row r="160" spans="2:3">
      <c r="B160" s="7"/>
      <c r="C160" s="24"/>
    </row>
    <row r="161" spans="2:3">
      <c r="B161" s="7"/>
      <c r="C161" s="24"/>
    </row>
    <row r="162" spans="2:3">
      <c r="B162" s="7"/>
      <c r="C162" s="24"/>
    </row>
    <row r="163" spans="2:3">
      <c r="B163" s="7"/>
      <c r="C163" s="24"/>
    </row>
    <row r="164" spans="2:3">
      <c r="B164" s="7"/>
      <c r="C164" s="24"/>
    </row>
    <row r="165" spans="2:3">
      <c r="B165" s="7"/>
      <c r="C165" s="24"/>
    </row>
    <row r="166" spans="2:3">
      <c r="B166" s="7"/>
      <c r="C166" s="24"/>
    </row>
    <row r="167" spans="2:3">
      <c r="B167" s="7"/>
      <c r="C167" s="24"/>
    </row>
    <row r="168" spans="2:3">
      <c r="B168" s="7"/>
      <c r="C168" s="24"/>
    </row>
    <row r="169" spans="2:3">
      <c r="B169" s="7"/>
      <c r="C169" s="24"/>
    </row>
    <row r="170" spans="2:3">
      <c r="B170" s="7"/>
      <c r="C170" s="24"/>
    </row>
    <row r="171" spans="2:3">
      <c r="B171" s="7"/>
      <c r="C171" s="24"/>
    </row>
    <row r="172" spans="2:3">
      <c r="B172" s="7"/>
      <c r="C172" s="24"/>
    </row>
    <row r="173" spans="2:3">
      <c r="B173" s="7"/>
      <c r="C173" s="24"/>
    </row>
    <row r="174" spans="2:3">
      <c r="B174" s="7"/>
      <c r="C174" s="24"/>
    </row>
    <row r="175" spans="2:3">
      <c r="B175" s="7"/>
      <c r="C175" s="24"/>
    </row>
    <row r="176" spans="2:3">
      <c r="B176" s="7"/>
      <c r="C176" s="24"/>
    </row>
    <row r="177" spans="2:3">
      <c r="B177" s="7"/>
      <c r="C177" s="24"/>
    </row>
    <row r="178" spans="2:3">
      <c r="B178" s="7"/>
      <c r="C178" s="24"/>
    </row>
    <row r="179" spans="2:3">
      <c r="B179" s="7"/>
      <c r="C179" s="24"/>
    </row>
    <row r="180" spans="2:3">
      <c r="B180" s="7"/>
      <c r="C180" s="24"/>
    </row>
    <row r="181" spans="2:3">
      <c r="B181" s="7"/>
      <c r="C181" s="24"/>
    </row>
    <row r="182" spans="2:3">
      <c r="B182" s="7"/>
      <c r="C182" s="24"/>
    </row>
    <row r="183" spans="2:3">
      <c r="B183" s="7"/>
      <c r="C183" s="24"/>
    </row>
    <row r="184" spans="2:3">
      <c r="B184" s="7"/>
      <c r="C184" s="24"/>
    </row>
    <row r="185" spans="2:3">
      <c r="B185" s="7"/>
      <c r="C185" s="24"/>
    </row>
    <row r="186" spans="2:3">
      <c r="B186" s="7"/>
      <c r="C186" s="24"/>
    </row>
    <row r="187" spans="2:3">
      <c r="B187" s="7"/>
      <c r="C187" s="24"/>
    </row>
    <row r="188" spans="2:3">
      <c r="B188" s="7"/>
      <c r="C188" s="24"/>
    </row>
    <row r="189" spans="2:3">
      <c r="B189" s="7"/>
      <c r="C189" s="24"/>
    </row>
    <row r="190" spans="2:3">
      <c r="B190" s="7"/>
      <c r="C190" s="24"/>
    </row>
    <row r="191" spans="2:3">
      <c r="B191" s="7"/>
      <c r="C191" s="24"/>
    </row>
    <row r="192" spans="2:3">
      <c r="B192" s="7"/>
      <c r="C192" s="24"/>
    </row>
    <row r="193" spans="2:3">
      <c r="B193" s="7"/>
      <c r="C193" s="24"/>
    </row>
    <row r="194" spans="2:3">
      <c r="B194" s="7"/>
      <c r="C194" s="24"/>
    </row>
    <row r="195" spans="2:3">
      <c r="B195" s="7"/>
      <c r="C195" s="24"/>
    </row>
    <row r="196" spans="2:3">
      <c r="B196" s="7"/>
      <c r="C196" s="24"/>
    </row>
    <row r="197" spans="2:3">
      <c r="B197" s="7"/>
      <c r="C197" s="24"/>
    </row>
    <row r="198" spans="2:3">
      <c r="B198" s="7"/>
      <c r="C198" s="24"/>
    </row>
    <row r="199" spans="2:3">
      <c r="B199" s="7"/>
      <c r="C199" s="24"/>
    </row>
    <row r="200" spans="2:3">
      <c r="B200" s="7"/>
      <c r="C200" s="24"/>
    </row>
    <row r="201" spans="2:3">
      <c r="B201" s="7"/>
      <c r="C201" s="24"/>
    </row>
    <row r="202" spans="2:3">
      <c r="B202" s="7"/>
      <c r="C202" s="24"/>
    </row>
    <row r="203" spans="2:3">
      <c r="B203" s="7"/>
      <c r="C203" s="24"/>
    </row>
    <row r="204" spans="2:3">
      <c r="B204" s="7"/>
      <c r="C204" s="24"/>
    </row>
    <row r="205" spans="2:3">
      <c r="B205" s="7"/>
      <c r="C205" s="24"/>
    </row>
    <row r="206" spans="2:3">
      <c r="B206" s="7"/>
      <c r="C206" s="24"/>
    </row>
    <row r="207" spans="2:3">
      <c r="B207" s="7"/>
      <c r="C207" s="24"/>
    </row>
    <row r="208" spans="2:3">
      <c r="B208" s="7"/>
      <c r="C208" s="24"/>
    </row>
  </sheetData>
  <mergeCells count="9">
    <mergeCell ref="A14:A17"/>
    <mergeCell ref="Z2:Z3"/>
    <mergeCell ref="A2:B3"/>
    <mergeCell ref="C2:G2"/>
    <mergeCell ref="A4:A9"/>
    <mergeCell ref="A10:A11"/>
    <mergeCell ref="J2:O2"/>
    <mergeCell ref="P2:V2"/>
    <mergeCell ref="W2:Y2"/>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64" r:id="rId3" name="DropDown40">
              <controlPr defaultSize="0" autoLine="0" autoPict="0">
                <anchor moveWithCells="1">
                  <from>
                    <xdr:col>1</xdr:col>
                    <xdr:colOff>25400</xdr:colOff>
                    <xdr:row>0</xdr:row>
                    <xdr:rowOff>38100</xdr:rowOff>
                  </from>
                  <to>
                    <xdr:col>2</xdr:col>
                    <xdr:colOff>0</xdr:colOff>
                    <xdr:row>0</xdr:row>
                    <xdr:rowOff>279400</xdr:rowOff>
                  </to>
                </anchor>
              </controlPr>
            </control>
          </mc:Choice>
          <mc:Fallback/>
        </mc:AlternateContent>
        <mc:AlternateContent xmlns:mc="http://schemas.openxmlformats.org/markup-compatibility/2006">
          <mc:Choice Requires="x14">
            <control shapeId="1065" r:id="rId4" name="Button 41">
              <controlPr defaultSize="0" print="0" autoFill="0" autoPict="0" macro="[0]!WriteFile">
                <anchor moveWithCells="1" sizeWithCells="1">
                  <from>
                    <xdr:col>2</xdr:col>
                    <xdr:colOff>165100</xdr:colOff>
                    <xdr:row>0</xdr:row>
                    <xdr:rowOff>50800</xdr:rowOff>
                  </from>
                  <to>
                    <xdr:col>3</xdr:col>
                    <xdr:colOff>355600</xdr:colOff>
                    <xdr:row>0</xdr:row>
                    <xdr:rowOff>368300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G54"/>
  <sheetViews>
    <sheetView workbookViewId="0">
      <selection activeCell="G11" sqref="G11"/>
    </sheetView>
  </sheetViews>
  <sheetFormatPr baseColWidth="10" defaultColWidth="8.83203125" defaultRowHeight="14" x14ac:dyDescent="0"/>
  <cols>
    <col min="1" max="1" width="65.6640625" bestFit="1" customWidth="1"/>
    <col min="3" max="3" width="22.5" bestFit="1" customWidth="1"/>
    <col min="4" max="4" width="15.33203125" bestFit="1" customWidth="1"/>
  </cols>
  <sheetData>
    <row r="1" spans="1:7">
      <c r="A1" s="94" t="s">
        <v>98</v>
      </c>
      <c r="C1" t="s">
        <v>119</v>
      </c>
      <c r="D1" t="s">
        <v>120</v>
      </c>
      <c r="E1" t="s">
        <v>5</v>
      </c>
    </row>
    <row r="2" spans="1:7">
      <c r="A2" s="94" t="s">
        <v>99</v>
      </c>
      <c r="C2" t="s">
        <v>121</v>
      </c>
      <c r="D2">
        <v>0.64700000000000002</v>
      </c>
      <c r="E2">
        <v>7.5030000000000001</v>
      </c>
      <c r="G2" t="s">
        <v>123</v>
      </c>
    </row>
    <row r="3" spans="1:7">
      <c r="A3" s="94" t="s">
        <v>100</v>
      </c>
      <c r="C3" s="101">
        <v>4</v>
      </c>
      <c r="D3">
        <v>0.67200000000000004</v>
      </c>
      <c r="E3">
        <v>7.4950000000000001</v>
      </c>
    </row>
    <row r="4" spans="1:7">
      <c r="A4" s="94" t="s">
        <v>101</v>
      </c>
      <c r="C4" s="101">
        <v>6</v>
      </c>
      <c r="D4">
        <v>0.745</v>
      </c>
      <c r="E4">
        <v>7.1470000000000002</v>
      </c>
      <c r="G4" t="s">
        <v>124</v>
      </c>
    </row>
    <row r="5" spans="1:7">
      <c r="A5" s="94" t="s">
        <v>102</v>
      </c>
      <c r="C5" s="101">
        <v>8</v>
      </c>
      <c r="D5">
        <v>0.89900000000000002</v>
      </c>
      <c r="E5">
        <v>6.4359999999999999</v>
      </c>
    </row>
    <row r="6" spans="1:7">
      <c r="A6" s="94" t="s">
        <v>103</v>
      </c>
      <c r="C6" s="101">
        <v>10</v>
      </c>
      <c r="D6">
        <v>1.1160000000000001</v>
      </c>
      <c r="E6">
        <v>5.94</v>
      </c>
    </row>
    <row r="7" spans="1:7">
      <c r="A7" s="94" t="s">
        <v>104</v>
      </c>
      <c r="C7" s="101">
        <v>12</v>
      </c>
      <c r="D7">
        <v>1.3580000000000001</v>
      </c>
      <c r="E7">
        <v>5.7110000000000003</v>
      </c>
    </row>
    <row r="8" spans="1:7">
      <c r="A8" s="94" t="s">
        <v>105</v>
      </c>
      <c r="C8" s="101">
        <v>14</v>
      </c>
      <c r="D8">
        <v>1.655</v>
      </c>
      <c r="E8">
        <v>5.7489999999999997</v>
      </c>
    </row>
    <row r="9" spans="1:7">
      <c r="A9" s="94" t="s">
        <v>106</v>
      </c>
      <c r="C9" s="101">
        <v>16</v>
      </c>
      <c r="D9">
        <v>1.92</v>
      </c>
      <c r="E9">
        <v>5.8280000000000003</v>
      </c>
    </row>
    <row r="10" spans="1:7">
      <c r="A10" s="94" t="s">
        <v>107</v>
      </c>
      <c r="C10" s="101">
        <v>18</v>
      </c>
      <c r="D10">
        <v>2.2890000000000001</v>
      </c>
      <c r="E10">
        <v>6.0910000000000002</v>
      </c>
    </row>
    <row r="11" spans="1:7">
      <c r="A11" s="94" t="s">
        <v>108</v>
      </c>
      <c r="C11" s="101">
        <v>20</v>
      </c>
      <c r="D11">
        <v>2.7610000000000001</v>
      </c>
      <c r="E11">
        <v>6.4859999999999998</v>
      </c>
    </row>
    <row r="12" spans="1:7">
      <c r="A12" s="94" t="s">
        <v>109</v>
      </c>
      <c r="C12" s="101">
        <v>22</v>
      </c>
      <c r="D12">
        <v>3.266</v>
      </c>
      <c r="E12">
        <v>6.8689999999999998</v>
      </c>
    </row>
    <row r="13" spans="1:7">
      <c r="A13" s="94" t="s">
        <v>110</v>
      </c>
      <c r="C13" s="101">
        <v>24</v>
      </c>
      <c r="D13">
        <v>4.1769999999999996</v>
      </c>
      <c r="E13">
        <v>7.7290000000000001</v>
      </c>
    </row>
    <row r="14" spans="1:7">
      <c r="A14" s="94" t="s">
        <v>111</v>
      </c>
      <c r="C14">
        <v>26</v>
      </c>
      <c r="D14">
        <v>4.6390000000000002</v>
      </c>
      <c r="E14">
        <v>7.9809999999999999</v>
      </c>
    </row>
    <row r="15" spans="1:7">
      <c r="A15" s="94" t="s">
        <v>112</v>
      </c>
      <c r="C15">
        <v>28</v>
      </c>
      <c r="D15">
        <v>5.2690000000000001</v>
      </c>
      <c r="E15">
        <v>8.3889999999999993</v>
      </c>
    </row>
    <row r="16" spans="1:7">
      <c r="A16" s="94" t="s">
        <v>113</v>
      </c>
      <c r="C16">
        <v>30</v>
      </c>
      <c r="D16">
        <v>5.5720000000000001</v>
      </c>
      <c r="E16">
        <v>8.6170000000000009</v>
      </c>
    </row>
    <row r="17" spans="1:5">
      <c r="A17" s="94" t="s">
        <v>114</v>
      </c>
      <c r="C17">
        <v>32</v>
      </c>
      <c r="D17">
        <v>5.44</v>
      </c>
      <c r="E17">
        <v>7.52</v>
      </c>
    </row>
    <row r="18" spans="1:5">
      <c r="A18" s="94" t="s">
        <v>115</v>
      </c>
      <c r="C18" t="s">
        <v>122</v>
      </c>
      <c r="D18">
        <v>6.0650000000000004</v>
      </c>
      <c r="E18">
        <v>8.4</v>
      </c>
    </row>
    <row r="19" spans="1:5">
      <c r="A19" s="95"/>
    </row>
    <row r="20" spans="1:5">
      <c r="A20" s="95" t="s">
        <v>116</v>
      </c>
    </row>
    <row r="21" spans="1:5">
      <c r="A21" s="95" t="s">
        <v>117</v>
      </c>
    </row>
    <row r="22" spans="1:5">
      <c r="A22" s="95" t="s">
        <v>118</v>
      </c>
    </row>
    <row r="37" spans="1:1">
      <c r="A37" s="94"/>
    </row>
    <row r="38" spans="1:1">
      <c r="A38" s="94"/>
    </row>
    <row r="39" spans="1:1">
      <c r="A39" s="94"/>
    </row>
    <row r="40" spans="1:1">
      <c r="A40" s="94"/>
    </row>
    <row r="41" spans="1:1">
      <c r="A41" s="94"/>
    </row>
    <row r="42" spans="1:1">
      <c r="A42" s="94"/>
    </row>
    <row r="43" spans="1:1">
      <c r="A43" s="94"/>
    </row>
    <row r="44" spans="1:1">
      <c r="A44" s="94"/>
    </row>
    <row r="45" spans="1:1">
      <c r="A45" s="94"/>
    </row>
    <row r="46" spans="1:1">
      <c r="A46" s="94"/>
    </row>
    <row r="47" spans="1:1">
      <c r="A47" s="94"/>
    </row>
    <row r="48" spans="1:1">
      <c r="A48" s="94"/>
    </row>
    <row r="49" spans="1:1">
      <c r="A49" s="94"/>
    </row>
    <row r="50" spans="1:1">
      <c r="A50" s="94"/>
    </row>
    <row r="51" spans="1:1">
      <c r="A51" s="94"/>
    </row>
    <row r="52" spans="1:1">
      <c r="A52" s="94"/>
    </row>
    <row r="53" spans="1:1">
      <c r="A53" s="94"/>
    </row>
    <row r="54" spans="1:1">
      <c r="A54" s="100"/>
    </row>
  </sheetData>
  <pageMargins left="0.7" right="0.7" top="0.75" bottom="0.75" header="0.3" footer="0.3"/>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NREL</dc:creator>
  <cp:lastModifiedBy>Michelle Burns</cp:lastModifiedBy>
  <dcterms:created xsi:type="dcterms:W3CDTF">2013-03-04T21:39:51Z</dcterms:created>
  <dcterms:modified xsi:type="dcterms:W3CDTF">2015-06-02T19:40:17Z</dcterms:modified>
</cp:coreProperties>
</file>